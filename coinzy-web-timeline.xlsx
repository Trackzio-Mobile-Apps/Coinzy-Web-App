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verview" sheetId="1" state="visible" r:id="rId1"/>
    <sheet name="Detailed Timeline" sheetId="2" state="visible" r:id="rId2"/>
    <sheet name="Weekly View" sheetId="3" state="visible" r:id="rId3"/>
  </sheets>
  <definedNames>
    <definedName name="_xlnm._FilterDatabase" localSheetId="1" hidden="1">'Detailed Timeline'!$A$1:$M$24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\ mmm\ yyyy"/>
    <numFmt numFmtId="165" formatCode="yyyy-mm-dd h:mm:ss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20304A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CEAF7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9" fontId="5" fillId="4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9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164" fontId="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9" fontId="5" fillId="4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9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030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70AD4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2030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cols>
    <col width="30" customWidth="1" style="12" min="1" max="1"/>
    <col width="74" customWidth="1" style="12" min="2" max="2"/>
    <col width="14" customWidth="1" style="12" min="3" max="3"/>
    <col width="15" customWidth="1" style="12" min="4" max="4"/>
    <col width="18" customWidth="1" style="12" min="5" max="6"/>
  </cols>
  <sheetData>
    <row r="1" ht="24.75" customHeight="1" s="13">
      <c r="A1" s="14" t="inlineStr">
        <is>
          <t>Coinzy Web — Project Timeline</t>
        </is>
      </c>
      <c r="B1" s="14" t="n"/>
      <c r="C1" s="14" t="n"/>
      <c r="D1" s="14" t="n"/>
      <c r="E1" s="14" t="n"/>
      <c r="F1" s="14" t="n"/>
    </row>
    <row r="2" ht="15" customHeight="1" s="13">
      <c r="A2" s="12" t="inlineStr">
        <is>
          <t>Project start date</t>
        </is>
      </c>
      <c r="B2" s="15" t="n">
        <v>46300</v>
      </c>
    </row>
    <row r="3" ht="15" customHeight="1" s="13">
      <c r="A3" s="12" t="inlineStr">
        <is>
          <t>Planning basis</t>
        </is>
      </c>
      <c r="B3" s="12" t="inlineStr">
        <is>
          <t>Parallel AI agents; screen tasks use screens/day; leftovers + QA bug backlog use hours. Bug ETA from docs/bug-tracker.html velocity.</t>
        </is>
      </c>
    </row>
    <row r="4" ht="15" customHeight="1" s="13">
      <c r="A4" s="12" t="inlineStr">
        <is>
          <t>Remaining agent workdays</t>
        </is>
      </c>
      <c r="B4" s="12">
        <f>SUM('Detailed Timeline'!D2:D29)</f>
        <v/>
      </c>
    </row>
    <row r="5" ht="15" customHeight="1" s="13">
      <c r="A5" s="12" t="inlineStr">
        <is>
          <t>Calendar weeks</t>
        </is>
      </c>
      <c r="B5" s="12">
        <f>IF(B6="","",ROUNDUP(NETWORKDAYS(B2,B6)/5,0))</f>
        <v/>
      </c>
    </row>
    <row r="6" ht="15" customHeight="1" s="13">
      <c r="A6" s="12" t="inlineStr">
        <is>
          <t>Projected finish</t>
        </is>
      </c>
      <c r="B6" s="16">
        <f>MAX('Detailed Timeline'!F2:F29)</f>
        <v/>
      </c>
    </row>
    <row r="7" ht="15" customHeight="1" s="13">
      <c r="A7" s="12" t="inlineStr">
        <is>
          <t>Overall progress</t>
        </is>
      </c>
      <c r="B7" s="17">
        <f>IFERROR(SUMPRODUCT('Detailed Timeline'!O2:O29,'Detailed Timeline'!G2:G29)/SUM('Detailed Timeline'!O2:O29),0)</f>
        <v/>
      </c>
    </row>
    <row r="8" ht="15" customHeight="1" s="13">
      <c r="A8" s="12" t="inlineStr">
        <is>
          <t>Unscheduled tasks</t>
        </is>
      </c>
      <c r="B8" s="12">
        <f>COUNTIFS('Detailed Timeline'!L2:L29,"",'Detailed Timeline'!G2:G29,"&lt;1")</f>
        <v/>
      </c>
    </row>
    <row r="9" ht="15" customHeight="1" s="13">
      <c r="A9" s="12" t="inlineStr">
        <is>
          <t>Screens per agent per day</t>
        </is>
      </c>
      <c r="B9" s="18" t="n">
        <v>2</v>
      </c>
    </row>
    <row r="10" ht="15" customHeight="1" s="13">
      <c r="A10" s="12" t="inlineStr">
        <is>
          <t>Planned screens</t>
        </is>
      </c>
      <c r="B10" s="12">
        <f>SUM('Detailed Timeline'!L2:L29)</f>
        <v/>
      </c>
      <c r="C10" s="12" t="inlineStr">
        <is>
          <t>Agent weeks</t>
        </is>
      </c>
      <c r="D10" s="12" t="inlineStr">
        <is>
          <t>Progress</t>
        </is>
      </c>
      <c r="E10" s="12" t="inlineStr">
        <is>
          <t>Start</t>
        </is>
      </c>
      <c r="F10" s="12" t="inlineStr">
        <is>
          <t>Finish</t>
        </is>
      </c>
    </row>
    <row r="11" ht="15" customHeight="1" s="13">
      <c r="A11" s="19" t="inlineStr">
        <is>
          <t>Landing pages</t>
        </is>
      </c>
      <c r="B11" s="19">
        <f>SUMIF('Detailed Timeline'!B$2:B$29,A11,'Detailed Timeline'!D$2:D$29)</f>
        <v/>
      </c>
      <c r="C11" s="19">
        <f>B11/5</f>
        <v/>
      </c>
      <c r="D11" s="20">
        <f>IFERROR(SUMPRODUCT(('Detailed Timeline'!B$2:B$29=A11)*'Detailed Timeline'!O$2:O$24*'Detailed Timeline'!G$2:G$24)/SUMIF('Detailed Timeline'!B$2:B$29,A11,'Detailed Timeline'!O$2:O$24),0)</f>
        <v/>
      </c>
      <c r="E11" s="21">
        <f>IF(COUNT('Detailed Timeline'!E2,'Detailed Timeline'!E3)=0,"",MIN('Detailed Timeline'!E2,'Detailed Timeline'!E3))</f>
        <v/>
      </c>
      <c r="F11" s="21">
        <f>IF(COUNT('Detailed Timeline'!F2,'Detailed Timeline'!F3)=0,"",MAX('Detailed Timeline'!F2,'Detailed Timeline'!F3))</f>
        <v/>
      </c>
    </row>
    <row r="12" ht="15" customHeight="1" s="13">
      <c r="A12" s="12" t="inlineStr">
        <is>
          <t>Auth and login</t>
        </is>
      </c>
      <c r="B12" s="12">
        <f>SUMIF('Detailed Timeline'!B$2:B$29,A12,'Detailed Timeline'!D$2:D$29)</f>
        <v/>
      </c>
      <c r="C12" s="12">
        <f>B12/5</f>
        <v/>
      </c>
      <c r="D12" s="17">
        <f>IFERROR(SUMPRODUCT(('Detailed Timeline'!B$2:B$29=A12)*'Detailed Timeline'!O$2:O$24*'Detailed Timeline'!G$2:G$24)/SUMIF('Detailed Timeline'!B$2:B$29,A12,'Detailed Timeline'!O$2:O$24),0)</f>
        <v/>
      </c>
      <c r="E12" s="16">
        <f>IF(COUNT('Detailed Timeline'!E4)=0,"",MIN('Detailed Timeline'!E4))</f>
        <v/>
      </c>
      <c r="F12" s="16">
        <f>IF(COUNT('Detailed Timeline'!F4)=0,"",MAX('Detailed Timeline'!F4))</f>
        <v/>
      </c>
    </row>
    <row r="13" ht="15" customHeight="1" s="13">
      <c r="A13" s="12" t="inlineStr">
        <is>
          <t>Homepage</t>
        </is>
      </c>
      <c r="B13" s="12">
        <f>SUMIF('Detailed Timeline'!B$2:B$29,A13,'Detailed Timeline'!D$2:D$29)</f>
        <v/>
      </c>
      <c r="C13" s="12">
        <f>B13/5</f>
        <v/>
      </c>
      <c r="D13" s="17">
        <f>IFERROR(SUMPRODUCT(('Detailed Timeline'!B$2:B$29=A13)*'Detailed Timeline'!O$2:O$24*'Detailed Timeline'!G$2:G$24)/SUMIF('Detailed Timeline'!B$2:B$29,A13,'Detailed Timeline'!O$2:O$24),0)</f>
        <v/>
      </c>
      <c r="E13" s="16">
        <f>IF(COUNT('Detailed Timeline'!E5,'Detailed Timeline'!E6)=0,"",MIN('Detailed Timeline'!E5,'Detailed Timeline'!E6))</f>
        <v/>
      </c>
      <c r="F13" s="16">
        <f>IF(COUNT('Detailed Timeline'!F5,'Detailed Timeline'!F6)=0,"",MAX('Detailed Timeline'!F5,'Detailed Timeline'!F6))</f>
        <v/>
      </c>
    </row>
    <row r="14" ht="15" customHeight="1" s="13">
      <c r="A14" s="12" t="inlineStr">
        <is>
          <t>AI Identification</t>
        </is>
      </c>
      <c r="B14" s="12">
        <f>SUMIF('Detailed Timeline'!B$2:B$29,A14,'Detailed Timeline'!D$2:D$29)</f>
        <v/>
      </c>
      <c r="C14" s="12">
        <f>B14/5</f>
        <v/>
      </c>
      <c r="D14" s="17">
        <f>IFERROR(SUMPRODUCT(('Detailed Timeline'!B$2:B$29=A14)*'Detailed Timeline'!O$2:O$24*'Detailed Timeline'!G$2:G$24)/SUMIF('Detailed Timeline'!B$2:B$29,A14,'Detailed Timeline'!O$2:O$24),0)</f>
        <v/>
      </c>
      <c r="E14" s="16">
        <f>IF(COUNT('Detailed Timeline'!E7,'Detailed Timeline'!E8)=0,"",MIN('Detailed Timeline'!E7,'Detailed Timeline'!E8))</f>
        <v/>
      </c>
      <c r="F14" s="16">
        <f>IF(COUNT('Detailed Timeline'!F7,'Detailed Timeline'!F8)=0,"",MAX('Detailed Timeline'!F7,'Detailed Timeline'!F8))</f>
        <v/>
      </c>
    </row>
    <row r="15" ht="15" customHeight="1" s="13">
      <c r="A15" s="12" t="inlineStr">
        <is>
          <t>Expert evaluation</t>
        </is>
      </c>
      <c r="B15" s="12">
        <f>SUMIF('Detailed Timeline'!B$2:B$29,A15,'Detailed Timeline'!D$2:D$29)</f>
        <v/>
      </c>
      <c r="C15" s="12">
        <f>B15/5</f>
        <v/>
      </c>
      <c r="D15" s="17">
        <f>IFERROR(SUMPRODUCT(('Detailed Timeline'!B$2:B$29=A15)*'Detailed Timeline'!O$2:O$24*'Detailed Timeline'!G$2:G$24)/SUMIF('Detailed Timeline'!B$2:B$29,A15,'Detailed Timeline'!O$2:O$24),0)</f>
        <v/>
      </c>
      <c r="E15" s="16">
        <f>IF(COUNT('Detailed Timeline'!E9,'Detailed Timeline'!E10)=0,"",MIN('Detailed Timeline'!E9,'Detailed Timeline'!E10))</f>
        <v/>
      </c>
      <c r="F15" s="16">
        <f>IF(COUNT('Detailed Timeline'!F9,'Detailed Timeline'!F10)=0,"",MAX('Detailed Timeline'!F9,'Detailed Timeline'!F10))</f>
        <v/>
      </c>
    </row>
    <row r="16" ht="15" customHeight="1" s="13">
      <c r="A16" s="12" t="inlineStr">
        <is>
          <t>Global Catalogue</t>
        </is>
      </c>
      <c r="B16" s="12">
        <f>SUMIF('Detailed Timeline'!B$2:B$29,A16,'Detailed Timeline'!D$2:D$29)</f>
        <v/>
      </c>
      <c r="C16" s="12">
        <f>B16/5</f>
        <v/>
      </c>
      <c r="D16" s="17">
        <f>IFERROR(SUMPRODUCT(('Detailed Timeline'!B$2:B$29=A16)*'Detailed Timeline'!O$2:O$24*'Detailed Timeline'!G$2:G$24)/SUMIF('Detailed Timeline'!B$2:B$29,A16,'Detailed Timeline'!O$2:O$24),0)</f>
        <v/>
      </c>
      <c r="E16" s="16">
        <f>IF(COUNT('Detailed Timeline'!E11,'Detailed Timeline'!E12)=0,"",MIN('Detailed Timeline'!E11,'Detailed Timeline'!E12))</f>
        <v/>
      </c>
      <c r="F16" s="16">
        <f>IF(COUNT('Detailed Timeline'!F11,'Detailed Timeline'!F12)=0,"",MAX('Detailed Timeline'!F11,'Detailed Timeline'!F12))</f>
        <v/>
      </c>
    </row>
    <row r="17" ht="15" customHeight="1" s="13">
      <c r="A17" s="12" t="inlineStr">
        <is>
          <t>Marketplace</t>
        </is>
      </c>
      <c r="B17" s="12">
        <f>SUMIF('Detailed Timeline'!B$2:B$29,A17,'Detailed Timeline'!D$2:D$29)</f>
        <v/>
      </c>
      <c r="C17" s="12">
        <f>B17/5</f>
        <v/>
      </c>
      <c r="D17" s="17">
        <f>IFERROR(SUMPRODUCT(('Detailed Timeline'!B$2:B$29=A17)*'Detailed Timeline'!O$2:O$24*'Detailed Timeline'!G$2:G$24)/SUMIF('Detailed Timeline'!B$2:B$29,A17,'Detailed Timeline'!O$2:O$24),0)</f>
        <v/>
      </c>
      <c r="E17" s="16">
        <f>IF(COUNT('Detailed Timeline'!E13,'Detailed Timeline'!E14,'Detailed Timeline'!E15)=0,"",MIN('Detailed Timeline'!E13,'Detailed Timeline'!E14,'Detailed Timeline'!E15))</f>
        <v/>
      </c>
      <c r="F17" s="16">
        <f>IF(COUNT('Detailed Timeline'!F13,'Detailed Timeline'!F14,'Detailed Timeline'!F15)=0,"",MAX('Detailed Timeline'!F13,'Detailed Timeline'!F14,'Detailed Timeline'!F15))</f>
        <v/>
      </c>
    </row>
    <row r="18" ht="15" customHeight="1" s="13">
      <c r="A18" s="12" t="inlineStr">
        <is>
          <t>Collections</t>
        </is>
      </c>
      <c r="B18" s="12">
        <f>SUMIF('Detailed Timeline'!B$2:B$29,A18,'Detailed Timeline'!D$2:D$29)</f>
        <v/>
      </c>
      <c r="C18" s="12">
        <f>B18/5</f>
        <v/>
      </c>
      <c r="D18" s="17">
        <f>IFERROR(SUMPRODUCT(('Detailed Timeline'!B$2:B$29=A18)*'Detailed Timeline'!O$2:O$24*'Detailed Timeline'!G$2:G$24)/SUMIF('Detailed Timeline'!B$2:B$29,A18,'Detailed Timeline'!O$2:O$24),0)</f>
        <v/>
      </c>
      <c r="E18" s="16">
        <f>IF(COUNT('Detailed Timeline'!E16,'Detailed Timeline'!E17)=0,"",MIN('Detailed Timeline'!E16,'Detailed Timeline'!E17))</f>
        <v/>
      </c>
      <c r="F18" s="16">
        <f>IF(COUNT('Detailed Timeline'!F16,'Detailed Timeline'!F17)=0,"",MAX('Detailed Timeline'!F16,'Detailed Timeline'!F17))</f>
        <v/>
      </c>
    </row>
    <row r="19" ht="15" customHeight="1" s="13">
      <c r="A19" s="12" t="inlineStr">
        <is>
          <t>Feed</t>
        </is>
      </c>
      <c r="B19" s="12">
        <f>SUMIF('Detailed Timeline'!B$2:B$29,A19,'Detailed Timeline'!D$2:D$29)</f>
        <v/>
      </c>
      <c r="C19" s="12">
        <f>B19/5</f>
        <v/>
      </c>
      <c r="D19" s="17">
        <f>IFERROR(SUMPRODUCT(('Detailed Timeline'!B$2:B$29=A19)*'Detailed Timeline'!O$2:O$24*'Detailed Timeline'!G$2:G$24)/SUMIF('Detailed Timeline'!B$2:B$29,A19,'Detailed Timeline'!O$2:O$24),0)</f>
        <v/>
      </c>
      <c r="E19" s="16">
        <f>IF(COUNT('Detailed Timeline'!E18,'Detailed Timeline'!E19)=0,"",MIN('Detailed Timeline'!E18,'Detailed Timeline'!E19))</f>
        <v/>
      </c>
      <c r="F19" s="16">
        <f>IF(COUNT('Detailed Timeline'!F18,'Detailed Timeline'!F19)=0,"",MAX('Detailed Timeline'!F18,'Detailed Timeline'!F19))</f>
        <v/>
      </c>
    </row>
    <row r="20" ht="15" customHeight="1" s="13">
      <c r="A20" s="12" t="inlineStr">
        <is>
          <t>Settings</t>
        </is>
      </c>
      <c r="B20" s="12">
        <f>SUMIF('Detailed Timeline'!B$2:B$29,A20,'Detailed Timeline'!D$2:D$29)</f>
        <v/>
      </c>
      <c r="C20" s="12">
        <f>B20/5</f>
        <v/>
      </c>
      <c r="D20" s="17">
        <f>IFERROR(SUMPRODUCT(('Detailed Timeline'!B$2:B$29=A20)*'Detailed Timeline'!O$2:O$24*'Detailed Timeline'!G$2:G$24)/SUMIF('Detailed Timeline'!B$2:B$29,A20,'Detailed Timeline'!O$2:O$24),0)</f>
        <v/>
      </c>
      <c r="E20" s="16">
        <f>IF(COUNT('Detailed Timeline'!E20)=0,"",MIN('Detailed Timeline'!E20))</f>
        <v/>
      </c>
      <c r="F20" s="16">
        <f>IF(COUNT('Detailed Timeline'!F20)=0,"",MAX('Detailed Timeline'!F20))</f>
        <v/>
      </c>
    </row>
    <row r="21" ht="15" customHeight="1" s="13">
      <c r="A21" s="12" t="inlineStr">
        <is>
          <t>Payments (deferred)</t>
        </is>
      </c>
      <c r="B21" s="12">
        <f>SUMIF('Detailed Timeline'!B$2:B$29,A21,'Detailed Timeline'!D$2:D$29)</f>
        <v/>
      </c>
      <c r="C21" s="12">
        <f>B21/5</f>
        <v/>
      </c>
      <c r="D21" s="17">
        <f>IFERROR(SUMPRODUCT(('Detailed Timeline'!B$2:B$29=A21)*'Detailed Timeline'!O$2:O$24*'Detailed Timeline'!G$2:G$24)/SUMIF('Detailed Timeline'!B$2:B$29,A21,'Detailed Timeline'!O$2:O$24),0)</f>
        <v/>
      </c>
      <c r="E21" s="16">
        <f>IF(COUNT('Detailed Timeline'!E21,'Detailed Timeline'!E22)=0,"",MIN('Detailed Timeline'!E21,'Detailed Timeline'!E22))</f>
        <v/>
      </c>
      <c r="F21" s="16">
        <f>IF(COUNT('Detailed Timeline'!F21,'Detailed Timeline'!F22)=0,"",MAX('Detailed Timeline'!F21,'Detailed Timeline'!F22))</f>
        <v/>
      </c>
    </row>
    <row r="22" ht="15" customHeight="1" s="13">
      <c r="A22" s="12" t="inlineStr">
        <is>
          <t>Review and fixes</t>
        </is>
      </c>
      <c r="B22" s="12">
        <f>SUMIF('Detailed Timeline'!B$2:B$29,A22,'Detailed Timeline'!D$2:D$29)</f>
        <v/>
      </c>
      <c r="C22" s="12">
        <f>B22/5</f>
        <v/>
      </c>
      <c r="D22" s="17">
        <f>IFERROR(SUMPRODUCT(('Detailed Timeline'!B$2:B$29=A22)*'Detailed Timeline'!O$2:O$24*'Detailed Timeline'!G$2:G$24)/SUMIF('Detailed Timeline'!B$2:B$29,A22,'Detailed Timeline'!O$2:O$24),0)</f>
        <v/>
      </c>
      <c r="E22" s="16">
        <f>IF(COUNT('Detailed Timeline'!E23)=0,"",MIN('Detailed Timeline'!E23))</f>
        <v/>
      </c>
      <c r="F22" s="16">
        <f>IF(COUNT('Detailed Timeline'!F23)=0,"",MAX('Detailed Timeline'!F23))</f>
        <v/>
      </c>
    </row>
    <row r="23" ht="15" customHeight="1" s="13">
      <c r="A23" s="12" t="inlineStr">
        <is>
          <t>Blogs</t>
        </is>
      </c>
      <c r="B23" s="12">
        <f>SUMIF('Detailed Timeline'!B$2:B$29,A23,'Detailed Timeline'!D$2:D$29)</f>
        <v/>
      </c>
      <c r="C23" s="12">
        <f>B23/5</f>
        <v/>
      </c>
      <c r="D23" s="17">
        <f>IFERROR(SUMPRODUCT(('Detailed Timeline'!B$2:B$29=A23)*'Detailed Timeline'!O$2:O$24*'Detailed Timeline'!G$2:G$24)/SUMIF('Detailed Timeline'!B$2:B$29,A23,'Detailed Timeline'!O$2:O$24),0)</f>
        <v/>
      </c>
      <c r="E23" s="16">
        <f>IF(COUNT('Detailed Timeline'!E24)=0,"",MIN('Detailed Timeline'!E24))</f>
        <v/>
      </c>
      <c r="F23" s="16">
        <f>IF(COUNT('Detailed Timeline'!F24)=0,"",MAX('Detailed Timeline'!F24))</f>
        <v/>
      </c>
    </row>
    <row r="24" ht="15" customHeight="1" s="13">
      <c r="A24" s="12" t="inlineStr">
        <is>
          <t>Note</t>
        </is>
      </c>
      <c r="B24" s="12" t="inlineStr">
        <is>
          <t>Sync 23 (28 Oct 2026): Critical path = ClickUp web bugs. Velocity 34 pts/day (13 fixed today). 63 open (147 pts) → calendar ETA 2026-11-02 (~5d); workday finish ~2026-11-04. Task 22 = E2E+bug backlog 40h. Deferred (not QA blockers): Payments 20; Premium JWT on task 5.</t>
        </is>
      </c>
    </row>
    <row r="25" ht="15" customHeight="1" s="13">
      <c r="A25" s="12" t="inlineStr">
        <is>
          <t>Note</t>
        </is>
      </c>
      <c r="B25" s="12" t="inlineStr">
        <is>
          <t>Bug ETA assumes today’s burst holds. Half-pace (~17 pts/day) → ~2026-11-06. See docs/bug-tracker.html.</t>
        </is>
      </c>
    </row>
    <row r="26" ht="15" customHeight="1" s="13">
      <c r="A26" s="12" t="inlineStr">
        <is>
          <t>Agent lanes</t>
        </is>
      </c>
      <c r="B26" s="12" t="n">
        <v>5</v>
      </c>
    </row>
    <row r="27" ht="15" customHeight="1" s="13">
      <c r="A27" s="12" t="inlineStr">
        <is>
          <t>Forecast from (edit)</t>
        </is>
      </c>
      <c r="B27" s="15">
        <v>46323</v>
      </c>
    </row>
    <row r="28" ht="15" customHeight="1" s="13">
      <c r="A28" s="12" t="inlineStr">
        <is>
          <t>Completion dates</t>
        </is>
      </c>
      <c r="B28" s="12" t="inlineStr">
        <is>
          <t>Set progress to 100% and record the actual finish in Detailed Timeline column N. Early finishes release dependent work; forecasts use only remaining work and agent availability.</t>
        </is>
      </c>
    </row>
    <row r="29" ht="15" customHeight="1" s="13">
      <c r="A29" s="12" t="inlineStr">
        <is>
          <t>Sort order</t>
        </is>
      </c>
      <c r="B29" s="12" t="inlineStr">
        <is>
          <t>Detailed Timeline stays in task-ID order (dependency and agent-lane formulas read earlier rows by position, so sorting it would break the schedule). Weekly View is listed by progress (highest first), then task ID, matching the HTML timeline.</t>
        </is>
      </c>
    </row>
    <row r="30">
      <c r="A30" s="12" t="inlineStr">
        <is>
          <t>Leftover hours (sum)</t>
        </is>
      </c>
      <c r="B30" s="12">
        <f>SUMIF('Detailed Timeline'!B$2:B$29,"Leftovers (hours)",'Detailed Timeline'!Q$2:Q$29)</f>
        <v/>
      </c>
    </row>
    <row r="31">
      <c r="A31" s="12" t="inlineStr">
        <is>
          <t>Hours per agent day</t>
        </is>
      </c>
      <c r="B31" s="12" t="n">
        <v>8</v>
      </c>
    </row>
    <row r="32">
      <c r="A32" s="12" t="inlineStr">
        <is>
          <t>Leftovers (hours)</t>
        </is>
      </c>
      <c r="B32" s="12">
        <f>SUMIF('Detailed Timeline'!B$2:B$29,A32,'Detailed Timeline'!D$2:D$29)</f>
        <v/>
      </c>
    </row>
  </sheetData>
  <dataValidations count="1">
    <dataValidation sqref="B9" showDropDown="0" showInputMessage="0" showErrorMessage="1" allowBlank="0" type="decimal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Q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59765625" defaultRowHeight="15" customHeight="0" zeroHeight="0" outlineLevelRow="0"/>
  <cols>
    <col width="7" customWidth="1" style="12" min="1" max="1"/>
    <col width="23" customWidth="1" style="12" min="2" max="2"/>
    <col width="78" customWidth="1" style="12" min="3" max="3"/>
    <col width="22" customWidth="1" style="12" min="4" max="4"/>
    <col width="17" customWidth="1" style="12" min="5" max="6"/>
    <col width="16" customWidth="1" style="12" min="7" max="8"/>
    <col width="13" customWidth="1" style="12" min="9" max="10"/>
    <col width="22" customWidth="1" style="12" min="11" max="11"/>
    <col width="18" customWidth="1" style="12" min="12" max="12"/>
    <col width="14" customWidth="1" style="12" min="13" max="13"/>
    <col width="26" customWidth="1" style="12" min="14" max="14"/>
    <col width="19" customWidth="1" style="12" min="15" max="16"/>
  </cols>
  <sheetData>
    <row r="1" ht="24.75" customHeight="1" s="13">
      <c r="A1" s="14" t="inlineStr">
        <is>
          <t>ID</t>
        </is>
      </c>
      <c r="B1" s="14" t="inlineStr">
        <is>
          <t>Section</t>
        </is>
      </c>
      <c r="C1" s="14" t="inlineStr">
        <is>
          <t>Work package / deliverable</t>
        </is>
      </c>
      <c r="D1" s="14" t="inlineStr">
        <is>
          <t>Remaining workdays</t>
        </is>
      </c>
      <c r="E1" s="14" t="inlineStr">
        <is>
          <t>Start date</t>
        </is>
      </c>
      <c r="F1" s="14" t="inlineStr">
        <is>
          <t>Finish date</t>
        </is>
      </c>
      <c r="G1" s="14" t="inlineStr">
        <is>
          <t>Progress (edit)</t>
        </is>
      </c>
      <c r="H1" s="14" t="inlineStr">
        <is>
          <t>Status</t>
        </is>
      </c>
      <c r="I1" s="14" t="inlineStr">
        <is>
          <t>Start week</t>
        </is>
      </c>
      <c r="J1" s="14" t="inlineStr">
        <is>
          <t>Finish week</t>
        </is>
      </c>
      <c r="K1" s="14" t="inlineStr">
        <is>
          <t>Depends on ID (edit)</t>
        </is>
      </c>
      <c r="L1" s="14" t="inlineStr">
        <is>
          <t>Screens (edit)</t>
        </is>
      </c>
      <c r="M1" s="12" t="inlineStr">
        <is>
          <t>Agent lane</t>
        </is>
      </c>
      <c r="N1" s="14" t="inlineStr">
        <is>
          <t>Recorded completion (edit)</t>
        </is>
      </c>
      <c r="O1" s="14" t="inlineStr">
        <is>
          <t>Original workdays</t>
        </is>
      </c>
      <c r="P1" s="14" t="inlineStr">
        <is>
          <t>Agent busy through</t>
        </is>
      </c>
      <c r="Q1" s="12" t="inlineStr">
        <is>
          <t>Hours (edit)</t>
        </is>
      </c>
    </row>
    <row r="2" ht="15" customHeight="1" s="13">
      <c r="A2" s="12" t="n">
        <v>1</v>
      </c>
      <c r="B2" s="12" t="inlineStr">
        <is>
          <t>Landing pages</t>
        </is>
      </c>
      <c r="C2" s="12" t="inlineStr">
        <is>
          <t>Main landing page: Main page, shared header/footer and navigation; done with real coin images and favicon</t>
        </is>
      </c>
      <c r="D2" s="18">
        <f>IF(G2&gt;=1,0,IF(O2="","",ROUNDUP(O2*(1-G2),0)))</f>
        <v/>
      </c>
      <c r="E2" s="16">
        <f>IF(G2&gt;=1,IF(N2="",Overview!$B$27,N2),IF(D2="","",IF(IF(K2=0,FALSE(),INDEX(F$2:F$29,K2)=""),"",WORKDAY(MAX(Overview!$B$2-1,Overview!$B$27-1,IF(K2=0,0,INDEX(F$2:F$29,K2)),0),1))))</f>
        <v/>
      </c>
      <c r="F2" s="16">
        <f>IF(G2&gt;=1,E2,IF(E2="","",WORKDAY(E2,D2-1)))</f>
        <v/>
      </c>
      <c r="G2" s="22" t="n">
        <v>1</v>
      </c>
      <c r="H2" s="12">
        <f>IF(G2&gt;=1,"Done",IF(O2="","Scope pending",IF(E2="","Waiting on dependency",IF(G2&gt;0,"In progress","Planned"))))</f>
        <v/>
      </c>
      <c r="I2" s="12">
        <f>IF(E2="","",INT((E2-Overview!$B$2)/7)+1)</f>
        <v/>
      </c>
      <c r="J2" s="12">
        <f>IF(F2="","",INT((F2-Overview!$B$2)/7)+1)</f>
        <v/>
      </c>
      <c r="K2" s="18" t="n">
        <v>0</v>
      </c>
      <c r="L2" s="18" t="n">
        <v>2</v>
      </c>
      <c r="M2" s="12" t="inlineStr">
        <is>
          <t>A</t>
        </is>
      </c>
      <c r="N2" s="16" t="n">
        <v>46300</v>
      </c>
      <c r="O2" s="18">
        <f>IF(AND(Q2&lt;&gt;"",Q2&gt;0),ROUNDUP(Q2/Overview!$B$31,0),IF(OR(L2="",L2&lt;=0,Overview!$B$9&lt;=0),"",ROUNDUP(L2/Overview!$B$9,0)))</f>
        <v/>
      </c>
      <c r="P2" s="16">
        <f>MAX(0,IF(G2&gt;=1,0,IF(F2="",0,F2)))</f>
        <v/>
      </c>
    </row>
    <row r="3" ht="15" customHeight="1" s="13">
      <c r="A3" s="12" t="n">
        <v>2</v>
      </c>
      <c r="B3" s="12" t="inlineStr">
        <is>
          <t>Landing pages</t>
        </is>
      </c>
      <c r="C3" s="12" t="inlineStr">
        <is>
          <t>Feature landing pages: Done. Expert CTAs peeled → leftover task 24 (1h).</t>
        </is>
      </c>
      <c r="D3" s="18">
        <f>IF(G3&gt;=1,0,IF(O3="","",ROUNDUP(O3*(1-G3),0)))</f>
        <v/>
      </c>
      <c r="E3" s="16">
        <f>IF(G3&gt;=1,IF(N3="",Overview!$B$27,N3),IF(D3="","",IF(IF(K3=0,FALSE(),INDEX(F$2:F$29,K3)=""),"",WORKDAY(MAX(Overview!$B$2-1,Overview!$B$27-1,IF(K3=0,0,INDEX(F$2:F$29,K3)),IFERROR(LOOKUP(2,1/(M$2:M2=M3),P$2:P2),0)),1))))</f>
        <v/>
      </c>
      <c r="F3" s="16">
        <f>IF(G3&gt;=1,E3,IF(E3="","",WORKDAY(E3,D3-1)))</f>
        <v/>
      </c>
      <c r="G3" s="22" t="n">
        <v>1</v>
      </c>
      <c r="H3" s="12">
        <f>IF(G3&gt;=1,"Done",IF(O3="","Scope pending",IF(E3="","Waiting on dependency",IF(G3&gt;0,"In progress","Planned"))))</f>
        <v/>
      </c>
      <c r="I3" s="12">
        <f>IF(E3="","",INT((E3-Overview!$B$2)/7)+1)</f>
        <v/>
      </c>
      <c r="J3" s="12">
        <f>IF(F3="","",INT((F3-Overview!$B$2)/7)+1)</f>
        <v/>
      </c>
      <c r="K3" s="18" t="n">
        <v>1</v>
      </c>
      <c r="L3" s="18" t="n">
        <v>6</v>
      </c>
      <c r="M3" s="12" t="inlineStr">
        <is>
          <t>A</t>
        </is>
      </c>
      <c r="N3" s="16" t="n">
        <v>46304</v>
      </c>
      <c r="O3" s="18">
        <f>IF(AND(Q3&lt;&gt;"",Q3&gt;0),ROUNDUP(Q3/Overview!$B$31,0),IF(OR(L3="",L3&lt;=0,Overview!$B$9&lt;=0),"",ROUNDUP(L3/Overview!$B$9,0)))</f>
        <v/>
      </c>
      <c r="P3" s="16">
        <f>MAX(IFERROR(LOOKUP(2,1/(M$2:M2=M3),P$2:P2),0),IF(G3&gt;=1,0,IF(F3="",0,F3)))</f>
        <v/>
      </c>
    </row>
    <row r="4" ht="15" customHeight="1" s="13">
      <c r="A4" s="12" t="n">
        <v>3</v>
      </c>
      <c r="B4" s="12" t="inlineStr">
        <is>
          <t>Auth and login</t>
        </is>
      </c>
      <c r="C4" s="12" t="inlineStr">
        <is>
          <t>Account access: Done: welcome, email signup/login, guest sessions, forgot/reset APIs, OTP and new-password flow, Figma error states (1758:124172), Trackzio Terms/Privacy links, HTTP-only cookies, signed-in redirects and single-history auth steps; logged-out CTAs use /auth?next= (908/905 auth modals out of scope); Google sign-in disabled on web</t>
        </is>
      </c>
      <c r="D4" s="18">
        <f>IF(G4&gt;=1,0,IF(O4="","",ROUNDUP(O4*(1-G4),0)))</f>
        <v/>
      </c>
      <c r="E4" s="16">
        <f>IF(G4&gt;=1,IF(N4="",Overview!$B$27,N4),IF(D4="","",IF(IF(K4=0,FALSE(),INDEX(F$2:F$29,K4)=""),"",WORKDAY(MAX(Overview!$B$2-1,Overview!$B$27-1,IF(K4=0,0,INDEX(F$2:F$29,K4)),IFERROR(LOOKUP(2,1/(M$2:M3=M4),P$2:P3),0)),1))))</f>
        <v/>
      </c>
      <c r="F4" s="16">
        <f>IF(G4&gt;=1,E4,IF(E4="","",WORKDAY(E4,D4-1)))</f>
        <v/>
      </c>
      <c r="G4" s="22" t="n">
        <v>1</v>
      </c>
      <c r="H4" s="12">
        <f>IF(G4&gt;=1,"Done",IF(O4="","Scope pending",IF(E4="","Waiting on dependency",IF(G4&gt;0,"In progress","Planned"))))</f>
        <v/>
      </c>
      <c r="I4" s="12">
        <f>IF(E4="","",INT((E4-Overview!$B$2)/7)+1)</f>
        <v/>
      </c>
      <c r="J4" s="12">
        <f>IF(F4="","",INT((F4-Overview!$B$2)/7)+1)</f>
        <v/>
      </c>
      <c r="K4" s="18" t="n">
        <v>2</v>
      </c>
      <c r="L4" s="18" t="n">
        <v>8</v>
      </c>
      <c r="M4" s="12" t="inlineStr">
        <is>
          <t>A</t>
        </is>
      </c>
      <c r="N4" s="16" t="n">
        <v>46301</v>
      </c>
      <c r="O4" s="18">
        <f>IF(AND(Q4&lt;&gt;"",Q4&gt;0),ROUNDUP(Q4/Overview!$B$31,0),IF(OR(L4="",L4&lt;=0,Overview!$B$9&lt;=0),"",ROUNDUP(L4/Overview!$B$9,0)))</f>
        <v/>
      </c>
      <c r="P4" s="16">
        <f>MAX(IFERROR(LOOKUP(2,1/(M$2:M3=M4),P$2:P3),0),IF(G4&gt;=1,0,IF(F4="",0,F4)))</f>
        <v/>
      </c>
    </row>
    <row r="5" ht="15" customHeight="1" s="13">
      <c r="A5" s="12" t="n">
        <v>4</v>
      </c>
      <c r="B5" s="12" t="inlineStr">
        <is>
          <t>Homepage</t>
        </is>
      </c>
      <c r="C5" s="12" t="inlineStr">
        <is>
          <t>Free user dashboard: Done: signed-in /home (Figma 1898:205770) with live marketplace rows, Coin of the Day (free drawer and Premium upsell modal) and a 3-item Global Catalogue widget</t>
        </is>
      </c>
      <c r="D5" s="18">
        <f>IF(G5&gt;=1,0,IF(O5="","",ROUNDUP(O5*(1-G5),0)))</f>
        <v/>
      </c>
      <c r="E5" s="16">
        <f>IF(G5&gt;=1,IF(N5="",Overview!$B$27,N5),IF(D5="","",IF(IF(K5=0,FALSE(),INDEX(F$2:F$29,K5)=""),"",WORKDAY(MAX(Overview!$B$2-1,Overview!$B$27-1,IF(K5=0,0,INDEX(F$2:F$29,K5)),IFERROR(LOOKUP(2,1/(M$2:M4=M5),P$2:P4),0)),1))))</f>
        <v/>
      </c>
      <c r="F5" s="16">
        <f>IF(G5&gt;=1,E5,IF(E5="","",WORKDAY(E5,D5-1)))</f>
        <v/>
      </c>
      <c r="G5" s="22" t="n">
        <v>1</v>
      </c>
      <c r="H5" s="12">
        <f>IF(G5&gt;=1,"Done",IF(O5="","Scope pending",IF(E5="","Waiting on dependency",IF(G5&gt;0,"In progress","Planned"))))</f>
        <v/>
      </c>
      <c r="I5" s="12">
        <f>IF(E5="","",INT((E5-Overview!$B$2)/7)+1)</f>
        <v/>
      </c>
      <c r="J5" s="12">
        <f>IF(F5="","",INT((F5-Overview!$B$2)/7)+1)</f>
        <v/>
      </c>
      <c r="K5" s="18" t="n">
        <v>0</v>
      </c>
      <c r="L5" s="18" t="n">
        <v>4</v>
      </c>
      <c r="M5" s="12" t="inlineStr">
        <is>
          <t>B</t>
        </is>
      </c>
      <c r="N5" s="16" t="n">
        <v>46301</v>
      </c>
      <c r="O5" s="18">
        <f>IF(AND(Q5&lt;&gt;"",Q5&gt;0),ROUNDUP(Q5/Overview!$B$31,0),IF(OR(L5="",L5&lt;=0,Overview!$B$9&lt;=0),"",ROUNDUP(L5/Overview!$B$9,0)))</f>
        <v/>
      </c>
      <c r="P5" s="16">
        <f>MAX(IFERROR(LOOKUP(2,1/(M$2:M4=M5),P$2:P4),0),IF(G5&gt;=1,0,IF(F5="",0,F5)))</f>
        <v/>
      </c>
    </row>
    <row r="6" ht="15" customHeight="1" s="13">
      <c r="A6" s="12" t="n">
        <v>5</v>
      </c>
      <c r="B6" s="12" t="inlineStr">
        <is>
          <t>Homepage</t>
        </is>
      </c>
      <c r="C6" s="12" t="inlineStr">
        <is>
          <t>Premium experience: ~95% test multi-plan purchase (coinzy_premium cookie). JWT + Payments 20 deferred/unscheduled (not QA blocker).</t>
        </is>
      </c>
      <c r="D6" s="18">
        <f>IF(G6&gt;=1,0,IF(O6="","",ROUNDUP(O6*(1-G6),0)))</f>
        <v/>
      </c>
      <c r="E6" s="16">
        <f>IF(G6&gt;=1,IF(N6="",Overview!$B$27,N6),IF(D6="","",IF(IF(K6=0,FALSE(),INDEX(F$2:F$29,K6)=""),"",WORKDAY(MAX(Overview!$B$2-1,Overview!$B$27-1,IF(K6=0,0,INDEX(F$2:F$29,K6)),IFERROR(LOOKUP(2,1/(M$2:M5=M6),P$2:P5),0)),1))))</f>
        <v/>
      </c>
      <c r="F6" s="16">
        <f>IF(G6&gt;=1,E6,IF(E6="","",WORKDAY(E6,D6-1)))</f>
        <v/>
      </c>
      <c r="G6" s="22" t="n">
        <v>0.95</v>
      </c>
      <c r="H6" s="12">
        <f>IF(G6&gt;=1,"Done",IF(O6="","Scope pending",IF(E6="","Waiting on dependency",IF(G6&gt;0,"In progress","Planned"))))</f>
        <v/>
      </c>
      <c r="I6" s="12">
        <f>IF(E6="","",INT((E6-Overview!$B$2)/7)+1)</f>
        <v/>
      </c>
      <c r="J6" s="12">
        <f>IF(F6="","",INT((F6-Overview!$B$2)/7)+1)</f>
        <v/>
      </c>
      <c r="K6" s="18" t="n">
        <v>4</v>
      </c>
      <c r="L6" s="18"/>
      <c r="M6" s="12" t="inlineStr">
        <is>
          <t>B</t>
        </is>
      </c>
      <c r="N6" s="16" t="n"/>
      <c r="O6" s="18">
        <f>IF(AND(Q6&lt;&gt;"",Q6&gt;0),ROUNDUP(Q6/Overview!$B$31,0),IF(OR(L6="",L6&lt;=0,Overview!$B$9&lt;=0),"",ROUNDUP(L6/Overview!$B$9,0)))</f>
        <v/>
      </c>
      <c r="P6" s="16">
        <f>MAX(IFERROR(LOOKUP(2,1/(M$2:M5=M6),P$2:P5),0),IF(G6&gt;=1,0,IF(F6="",0,F6)))</f>
        <v/>
      </c>
    </row>
    <row r="7" ht="15" customHeight="1" s="13">
      <c r="A7" s="12" t="n">
        <v>6</v>
      </c>
      <c r="B7" s="12" t="inlineStr">
        <is>
          <t>AI Identification</t>
        </is>
      </c>
      <c r="C7" s="12" t="inlineStr">
        <is>
          <t>Start identification: Done: /identify upload (1828:206837), flip-coin (1828:206843), camera + zoom (1828:206846), blocked camera (1828:206844), analyse (1828:206840), failure / not-found (2098:158944), free plan card (1828:206842), error toasts (1493:236892), POST /api/ai/identify-v2; dev black-image debug to force failure</t>
        </is>
      </c>
      <c r="D7" s="18">
        <f>IF(G7&gt;=1,0,IF(O7="","",ROUNDUP(O7*(1-G7),0)))</f>
        <v/>
      </c>
      <c r="E7" s="16">
        <f>IF(G7&gt;=1,IF(N7="",Overview!$B$27,N7),IF(D7="","",IF(IF(K7=0,FALSE(),INDEX(F$2:F$29,K7)=""),"",WORKDAY(MAX(Overview!$B$2-1,Overview!$B$27-1,IF(K7=0,0,INDEX(F$2:F$29,K7)),IFERROR(LOOKUP(2,1/(M$2:M6=M7),P$2:P6),0)),1))))</f>
        <v/>
      </c>
      <c r="F7" s="16">
        <f>IF(G7&gt;=1,E7,IF(E7="","",WORKDAY(E7,D7-1)))</f>
        <v/>
      </c>
      <c r="G7" s="22" t="n">
        <v>1</v>
      </c>
      <c r="H7" s="12">
        <f>IF(G7&gt;=1,"Done",IF(O7="","Scope pending",IF(E7="","Waiting on dependency",IF(G7&gt;0,"In progress","Planned"))))</f>
        <v/>
      </c>
      <c r="I7" s="12">
        <f>IF(E7="","",INT((E7-Overview!$B$2)/7)+1)</f>
        <v/>
      </c>
      <c r="J7" s="12">
        <f>IF(F7="","",INT((F7-Overview!$B$2)/7)+1)</f>
        <v/>
      </c>
      <c r="K7" s="18" t="n">
        <v>0</v>
      </c>
      <c r="L7" s="18" t="n">
        <v>8</v>
      </c>
      <c r="M7" s="12" t="inlineStr">
        <is>
          <t>C</t>
        </is>
      </c>
      <c r="N7" s="16" t="n">
        <v>46301</v>
      </c>
      <c r="O7" s="18">
        <f>IF(AND(Q7&lt;&gt;"",Q7&gt;0),ROUNDUP(Q7/Overview!$B$31,0),IF(OR(L7="",L7&lt;=0,Overview!$B$9&lt;=0),"",ROUNDUP(L7/Overview!$B$9,0)))</f>
        <v/>
      </c>
      <c r="P7" s="16">
        <f>MAX(IFERROR(LOOKUP(2,1/(M$2:M6=M7),P$2:P6),0),IF(G7&gt;=1,0,IF(F7="",0,F7)))</f>
        <v/>
      </c>
    </row>
    <row r="8" ht="15" customHeight="1" s="13">
      <c r="A8" s="12" t="n">
        <v>7</v>
      </c>
      <c r="B8" s="12" t="inlineStr">
        <is>
          <t>AI Identification</t>
        </is>
      </c>
      <c r="C8" s="12" t="inlineStr">
        <is>
          <t>Results and actions: Done: matches, result details, collection add, rate-match rail (Figma Solid selected; dummy Feedback sent).</t>
        </is>
      </c>
      <c r="D8" s="18">
        <f>IF(G8&gt;=1,0,IF(O8="","",ROUNDUP(O8*(1-G8),0)))</f>
        <v/>
      </c>
      <c r="E8" s="16">
        <f>IF(G8&gt;=1,IF(N8="",Overview!$B$27,N8),IF(D8="","",IF(IF(K8=0,FALSE(),INDEX(F$2:F$29,K8)=""),"",WORKDAY(MAX(Overview!$B$2-1,Overview!$B$27-1,IF(K8=0,0,INDEX(F$2:F$29,K8)),IFERROR(LOOKUP(2,1/(M$2:M7=M8),P$2:P7),0)),1))))</f>
        <v/>
      </c>
      <c r="F8" s="16">
        <f>IF(G8&gt;=1,E8,IF(E8="","",WORKDAY(E8,D8-1)))</f>
        <v/>
      </c>
      <c r="G8" s="22" t="n">
        <v>1</v>
      </c>
      <c r="H8" s="12">
        <f>IF(G8&gt;=1,"Done",IF(O8="","Scope pending",IF(E8="","Waiting on dependency",IF(G8&gt;0,"In progress","Planned"))))</f>
        <v/>
      </c>
      <c r="I8" s="12">
        <f>IF(E8="","",INT((E8-Overview!$B$2)/7)+1)</f>
        <v/>
      </c>
      <c r="J8" s="12">
        <f>IF(F8="","",INT((F8-Overview!$B$2)/7)+1)</f>
        <v/>
      </c>
      <c r="K8" s="18" t="n">
        <v>6</v>
      </c>
      <c r="L8" s="18" t="n">
        <v>8</v>
      </c>
      <c r="M8" s="12" t="inlineStr">
        <is>
          <t>C</t>
        </is>
      </c>
      <c r="N8" s="16" t="n">
        <v>46304</v>
      </c>
      <c r="O8" s="18">
        <f>IF(AND(Q8&lt;&gt;"",Q8&gt;0),ROUNDUP(Q8/Overview!$B$31,0),IF(OR(L8="",L8&lt;=0,Overview!$B$9&lt;=0),"",ROUNDUP(L8/Overview!$B$9,0)))</f>
        <v/>
      </c>
      <c r="P8" s="16">
        <f>MAX(IFERROR(LOOKUP(2,1/(M$2:M7=M8),P$2:P7),0),IF(G8&gt;=1,0,IF(F8="",0,F8)))</f>
        <v/>
      </c>
    </row>
    <row r="9" ht="15" customHeight="1" s="13">
      <c r="A9" s="12" t="n">
        <v>8</v>
      </c>
      <c r="B9" s="12" t="inlineStr">
        <is>
          <t>Expert evaluation</t>
        </is>
      </c>
      <c r="C9" s="12" t="inlineStr">
        <is>
          <t>New request: Done (hub/upload/submit + staff dummy pay). Public credits → Payments 20; landing CTAs → leftover 24.</t>
        </is>
      </c>
      <c r="D9" s="18">
        <f>IF(G9&gt;=1,0,IF(O9="","",ROUNDUP(O9*(1-G9),0)))</f>
        <v/>
      </c>
      <c r="E9" s="16">
        <f>IF(G9&gt;=1,IF(N9="",Overview!$B$27,N9),IF(D9="","",IF(IF(K9=0,FALSE(),INDEX(F$2:F$29,K9)=""),"",WORKDAY(MAX(Overview!$B$2-1,Overview!$B$27-1,IF(K9=0,0,INDEX(F$2:F$29,K9)),IFERROR(LOOKUP(2,1/(M$2:M8=M9),P$2:P8),0)),1))))</f>
        <v/>
      </c>
      <c r="F9" s="16">
        <f>IF(G9&gt;=1,E9,IF(E9="","",WORKDAY(E9,D9-1)))</f>
        <v/>
      </c>
      <c r="G9" s="22" t="n">
        <v>1</v>
      </c>
      <c r="H9" s="12">
        <f>IF(G9&gt;=1,"Done",IF(O9="","Scope pending",IF(E9="","Waiting on dependency",IF(G9&gt;0,"In progress","Planned"))))</f>
        <v/>
      </c>
      <c r="I9" s="12">
        <f>IF(E9="","",INT((E9-Overview!$B$2)/7)+1)</f>
        <v/>
      </c>
      <c r="J9" s="12">
        <f>IF(F9="","",INT((F9-Overview!$B$2)/7)+1)</f>
        <v/>
      </c>
      <c r="K9" s="18" t="n">
        <v>7</v>
      </c>
      <c r="L9" s="18" t="n">
        <v>6</v>
      </c>
      <c r="M9" s="12" t="inlineStr">
        <is>
          <t>C</t>
        </is>
      </c>
      <c r="N9" s="16" t="n">
        <v>46304</v>
      </c>
      <c r="O9" s="18">
        <f>IF(AND(Q9&lt;&gt;"",Q9&gt;0),ROUNDUP(Q9/Overview!$B$31,0),IF(OR(L9="",L9&lt;=0,Overview!$B$9&lt;=0),"",ROUNDUP(L9/Overview!$B$9,0)))</f>
        <v/>
      </c>
      <c r="P9" s="16">
        <f>MAX(IFERROR(LOOKUP(2,1/(M$2:M8=M9),P$2:P8),0),IF(G9&gt;=1,0,IF(F9="",0,F9)))</f>
        <v/>
      </c>
    </row>
    <row r="10" ht="15" customHeight="1" s="13">
      <c r="A10" s="12" t="n">
        <v>9</v>
      </c>
      <c r="B10" s="12" t="inlineStr">
        <is>
          <t>Expert evaluation</t>
        </is>
      </c>
      <c r="C10" s="12" t="inlineStr">
        <is>
          <t>Existing requests: Done — list, poll+retry, report+feedback, Socket.IO user-room (REST refresh on events).</t>
        </is>
      </c>
      <c r="D10" s="18">
        <f>IF(G10&gt;=1,0,IF(O10="","",ROUNDUP(O10*(1-G10),0)))</f>
        <v/>
      </c>
      <c r="E10" s="16">
        <f>IF(G10&gt;=1,IF(N10="",Overview!$B$27,N10),IF(D10="","",IF(IF(K10=0,FALSE(),INDEX(F$2:F$29,K10)=""),"",WORKDAY(MAX(Overview!$B$2-1,Overview!$B$27-1,IF(K10=0,0,INDEX(F$2:F$29,K10)),IFERROR(LOOKUP(2,1/(M$2:M9=M10),P$2:P9),0)),1))))</f>
        <v/>
      </c>
      <c r="F10" s="16">
        <f>IF(G10&gt;=1,E10,IF(E10="","",WORKDAY(E10,D10-1)))</f>
        <v/>
      </c>
      <c r="G10" s="22" t="n">
        <v>1</v>
      </c>
      <c r="H10" s="12">
        <f>IF(G10&gt;=1,"Done",IF(O10="","Scope pending",IF(E10="","Waiting on dependency",IF(G10&gt;0,"In progress","Planned"))))</f>
        <v/>
      </c>
      <c r="I10" s="12">
        <f>IF(E10="","",INT((E10-Overview!$B$2)/7)+1)</f>
        <v/>
      </c>
      <c r="J10" s="12">
        <f>IF(F10="","",INT((F10-Overview!$B$2)/7)+1)</f>
        <v/>
      </c>
      <c r="K10" s="18" t="n">
        <v>8</v>
      </c>
      <c r="L10" s="18" t="n">
        <v>8</v>
      </c>
      <c r="M10" s="12" t="inlineStr">
        <is>
          <t>C</t>
        </is>
      </c>
      <c r="N10" s="16" t="n">
        <v>46304</v>
      </c>
      <c r="O10" s="18">
        <f>IF(AND(Q10&lt;&gt;"",Q10&gt;0),ROUNDUP(Q10/Overview!$B$31,0),IF(OR(L10="",L10&lt;=0,Overview!$B$9&lt;=0),"",ROUNDUP(L10/Overview!$B$9,0)))</f>
        <v/>
      </c>
      <c r="P10" s="16">
        <f>MAX(IFERROR(LOOKUP(2,1/(M$2:M9=M10),P$2:P9),0),IF(G10&gt;=1,0,IF(F10="",0,F10)))</f>
        <v/>
      </c>
    </row>
    <row r="11" ht="15" customHeight="1" s="13">
      <c r="A11" s="12" t="n">
        <v>10</v>
      </c>
      <c r="B11" s="12" t="inlineStr">
        <is>
          <t>Global Catalogue</t>
        </is>
      </c>
      <c r="C11" s="12" t="inlineStr">
        <is>
          <t>Browse catalogue: Done: live API coin grid, category filters, pagination and name search (?q=, composes with category filters; the API matches whole coin names only; search UI is not in Figma, built on the dashboard search pill)</t>
        </is>
      </c>
      <c r="D11" s="18">
        <f>IF(G11&gt;=1,0,IF(O11="","",ROUNDUP(O11*(1-G11),0)))</f>
        <v/>
      </c>
      <c r="E11" s="16">
        <f>IF(G11&gt;=1,IF(N11="",Overview!$B$27,N11),IF(D11="","",IF(IF(K11=0,FALSE(),INDEX(F$2:F$29,K11)=""),"",WORKDAY(MAX(Overview!$B$2-1,Overview!$B$27-1,IF(K11=0,0,INDEX(F$2:F$29,K11)),IFERROR(LOOKUP(2,1/(M$2:M10=M11),P$2:P10),0)),1))))</f>
        <v/>
      </c>
      <c r="F11" s="16">
        <f>IF(G11&gt;=1,E11,IF(E11="","",WORKDAY(E11,D11-1)))</f>
        <v/>
      </c>
      <c r="G11" s="22" t="n">
        <v>1</v>
      </c>
      <c r="H11" s="12">
        <f>IF(G11&gt;=1,"Done",IF(O11="","Scope pending",IF(E11="","Waiting on dependency",IF(G11&gt;0,"In progress","Planned"))))</f>
        <v/>
      </c>
      <c r="I11" s="12">
        <f>IF(E11="","",INT((E11-Overview!$B$2)/7)+1)</f>
        <v/>
      </c>
      <c r="J11" s="12">
        <f>IF(F11="","",INT((F11-Overview!$B$2)/7)+1)</f>
        <v/>
      </c>
      <c r="K11" s="18" t="n">
        <v>0</v>
      </c>
      <c r="L11" s="18" t="n">
        <v>6</v>
      </c>
      <c r="M11" s="12" t="inlineStr">
        <is>
          <t>D</t>
        </is>
      </c>
      <c r="N11" s="16" t="n">
        <v>46301</v>
      </c>
      <c r="O11" s="18">
        <f>IF(AND(Q11&lt;&gt;"",Q11&gt;0),ROUNDUP(Q11/Overview!$B$31,0),IF(OR(L11="",L11&lt;=0,Overview!$B$9&lt;=0),"",ROUNDUP(L11/Overview!$B$9,0)))</f>
        <v/>
      </c>
      <c r="P11" s="16">
        <f>MAX(IFERROR(LOOKUP(2,1/(M$2:M10=M11),P$2:P10),0),IF(G11&gt;=1,0,IF(F11="",0,F11)))</f>
        <v/>
      </c>
    </row>
    <row r="12" ht="15" customHeight="1" s="13">
      <c r="A12" s="12" t="n">
        <v>11</v>
      </c>
      <c r="B12" s="12" t="inlineStr">
        <is>
          <t>Global Catalogue</t>
        </is>
      </c>
      <c r="C12" s="12" t="inlineStr">
        <is>
          <t>Coin details: Done: live API details, grades, tabs; free vs Premium tab gating (1348:137792 / 1341:249499); signed-in app shell; wishlist hearts via PUT/DELETE archetypes/wishlist (grid + details)</t>
        </is>
      </c>
      <c r="D12" s="18">
        <f>IF(G12&gt;=1,0,IF(O12="","",ROUNDUP(O12*(1-G12),0)))</f>
        <v/>
      </c>
      <c r="E12" s="16">
        <f>IF(G12&gt;=1,IF(N12="",Overview!$B$27,N12),IF(D12="","",IF(IF(K12=0,FALSE(),INDEX(F$2:F$29,K12)=""),"",WORKDAY(MAX(Overview!$B$2-1,Overview!$B$27-1,IF(K12=0,0,INDEX(F$2:F$29,K12)),IFERROR(LOOKUP(2,1/(M$2:M11=M12),P$2:P11),0)),1))))</f>
        <v/>
      </c>
      <c r="F12" s="16">
        <f>IF(G12&gt;=1,E12,IF(E12="","",WORKDAY(E12,D12-1)))</f>
        <v/>
      </c>
      <c r="G12" s="22" t="n">
        <v>1</v>
      </c>
      <c r="H12" s="12">
        <f>IF(G12&gt;=1,"Done",IF(O12="","Scope pending",IF(E12="","Waiting on dependency",IF(G12&gt;0,"In progress","Planned"))))</f>
        <v/>
      </c>
      <c r="I12" s="12">
        <f>IF(E12="","",INT((E12-Overview!$B$2)/7)+1)</f>
        <v/>
      </c>
      <c r="J12" s="12">
        <f>IF(F12="","",INT((F12-Overview!$B$2)/7)+1)</f>
        <v/>
      </c>
      <c r="K12" s="18" t="n">
        <v>10</v>
      </c>
      <c r="L12" s="18" t="n">
        <v>4</v>
      </c>
      <c r="M12" s="12" t="inlineStr">
        <is>
          <t>D</t>
        </is>
      </c>
      <c r="N12" s="16" t="n">
        <v>46301</v>
      </c>
      <c r="O12" s="18">
        <f>IF(AND(Q12&lt;&gt;"",Q12&gt;0),ROUNDUP(Q12/Overview!$B$31,0),IF(OR(L12="",L12&lt;=0,Overview!$B$9&lt;=0),"",ROUNDUP(L12/Overview!$B$9,0)))</f>
        <v/>
      </c>
      <c r="P12" s="16">
        <f>MAX(IFERROR(LOOKUP(2,1/(M$2:M11=M12),P$2:P11),0),IF(G12&gt;=1,0,IF(F12="",0,F12)))</f>
        <v/>
      </c>
    </row>
    <row r="13" ht="15" customHeight="1" s="13">
      <c r="A13" s="12" t="n">
        <v>12</v>
      </c>
      <c r="B13" s="12" t="inlineStr">
        <is>
          <t>Marketplace</t>
        </is>
      </c>
      <c r="C13" s="12" t="inlineStr">
        <is>
          <t>Browse listings: Done: logged-out landing (793:77834) and category pages (793:77612) with live rows, pagination and title search (?q=, case-insensitive whole words; search UI is not in Figma, built on the dashboard search pill); signed-in /marketplace (1356:154252) with filterItems filters and fetchAll; /home marketplace chips and search; logged-out List a coin → /auth?next=</t>
        </is>
      </c>
      <c r="D13" s="18">
        <f>IF(G13&gt;=1,0,IF(O13="","",ROUNDUP(O13*(1-G13),0)))</f>
        <v/>
      </c>
      <c r="E13" s="16">
        <f>IF(G13&gt;=1,IF(N13="",Overview!$B$27,N13),IF(D13="","",IF(IF(K13=0,FALSE(),INDEX(F$2:F$29,K13)=""),"",WORKDAY(MAX(Overview!$B$2-1,Overview!$B$27-1,IF(K13=0,0,INDEX(F$2:F$29,K13)),IFERROR(LOOKUP(2,1/(M$2:M12=M13),P$2:P12),0)),1))))</f>
        <v/>
      </c>
      <c r="F13" s="16">
        <f>IF(G13&gt;=1,E13,IF(E13="","",WORKDAY(E13,D13-1)))</f>
        <v/>
      </c>
      <c r="G13" s="22" t="n">
        <v>1</v>
      </c>
      <c r="H13" s="12">
        <f>IF(G13&gt;=1,"Done",IF(O13="","Scope pending",IF(E13="","Waiting on dependency",IF(G13&gt;0,"In progress","Planned"))))</f>
        <v/>
      </c>
      <c r="I13" s="12">
        <f>IF(E13="","",INT((E13-Overview!$B$2)/7)+1)</f>
        <v/>
      </c>
      <c r="J13" s="12">
        <f>IF(F13="","",INT((F13-Overview!$B$2)/7)+1)</f>
        <v/>
      </c>
      <c r="K13" s="18" t="n">
        <v>11</v>
      </c>
      <c r="L13" s="18" t="n">
        <v>6</v>
      </c>
      <c r="M13" s="12" t="inlineStr">
        <is>
          <t>D</t>
        </is>
      </c>
      <c r="N13" s="16" t="n">
        <v>46301</v>
      </c>
      <c r="O13" s="18">
        <f>IF(AND(Q13&lt;&gt;"",Q13&gt;0),ROUNDUP(Q13/Overview!$B$31,0),IF(OR(L13="",L13&lt;=0,Overview!$B$9&lt;=0),"",ROUNDUP(L13/Overview!$B$9,0)))</f>
        <v/>
      </c>
      <c r="P13" s="16">
        <f>MAX(IFERROR(LOOKUP(2,1/(M$2:M12=M13),P$2:P12),0),IF(G13&gt;=1,0,IF(F13="",0,F13)))</f>
        <v/>
      </c>
    </row>
    <row r="14" ht="15" customHeight="1" s="13">
      <c r="A14" s="12" t="n">
        <v>13</v>
      </c>
      <c r="B14" s="12" t="inlineStr">
        <is>
          <t>Marketplace</t>
        </is>
      </c>
      <c r="C14" s="12" t="inlineStr">
        <is>
          <t>Listing details: Done: live listing, seller details; signed-in Contact seller modal (1356:164759); logged-out redacted contact + /auth?next= (no auth modal)</t>
        </is>
      </c>
      <c r="D14" s="18">
        <f>IF(G14&gt;=1,0,IF(O14="","",ROUNDUP(O14*(1-G14),0)))</f>
        <v/>
      </c>
      <c r="E14" s="16">
        <f>IF(G14&gt;=1,IF(N14="",Overview!$B$27,N14),IF(D14="","",IF(IF(K14=0,FALSE(),INDEX(F$2:F$29,K14)=""),"",WORKDAY(MAX(Overview!$B$2-1,Overview!$B$27-1,IF(K14=0,0,INDEX(F$2:F$29,K14)),IFERROR(LOOKUP(2,1/(M$2:M13=M14),P$2:P13),0)),1))))</f>
        <v/>
      </c>
      <c r="F14" s="16">
        <f>IF(G14&gt;=1,E14,IF(E14="","",WORKDAY(E14,D14-1)))</f>
        <v/>
      </c>
      <c r="G14" s="22" t="n">
        <v>1</v>
      </c>
      <c r="H14" s="12">
        <f>IF(G14&gt;=1,"Done",IF(O14="","Scope pending",IF(E14="","Waiting on dependency",IF(G14&gt;0,"In progress","Planned"))))</f>
        <v/>
      </c>
      <c r="I14" s="12">
        <f>IF(E14="","",INT((E14-Overview!$B$2)/7)+1)</f>
        <v/>
      </c>
      <c r="J14" s="12">
        <f>IF(F14="","",INT((F14-Overview!$B$2)/7)+1)</f>
        <v/>
      </c>
      <c r="K14" s="18" t="n">
        <v>12</v>
      </c>
      <c r="L14" s="18" t="n">
        <v>4</v>
      </c>
      <c r="M14" s="12" t="inlineStr">
        <is>
          <t>D</t>
        </is>
      </c>
      <c r="N14" s="16" t="n">
        <v>46300</v>
      </c>
      <c r="O14" s="18">
        <f>IF(AND(Q14&lt;&gt;"",Q14&gt;0),ROUNDUP(Q14/Overview!$B$31,0),IF(OR(L14="",L14&lt;=0,Overview!$B$9&lt;=0),"",ROUNDUP(L14/Overview!$B$9,0)))</f>
        <v/>
      </c>
      <c r="P14" s="16">
        <f>MAX(IFERROR(LOOKUP(2,1/(M$2:M13=M14),P$2:P13),0),IF(G14&gt;=1,0,IF(F14="",0,F14)))</f>
        <v/>
      </c>
    </row>
    <row r="15" ht="15" customHeight="1" s="13">
      <c r="A15" s="12" t="n">
        <v>14</v>
      </c>
      <c r="B15" s="12" t="inlineStr">
        <is>
          <t>Marketplace</t>
        </is>
      </c>
      <c r="C15" s="12" t="inlineStr">
        <is>
          <t>Create listings: Done — List a coin, From Owned, seller profile, Add for Sale, self listing with Remove + Mark as sold (PATCH /marketplace/markSold/:id)</t>
        </is>
      </c>
      <c r="D15" s="18">
        <f>IF(G15&gt;=1,0,IF(O15="","",ROUNDUP(O15*(1-G15),0)))</f>
        <v/>
      </c>
      <c r="E15" s="16">
        <f>IF(G15&gt;=1,IF(N15="",Overview!$B$27,N15),IF(D15="","",IF(IF(K15=0,FALSE(),INDEX(F$2:F$29,K15)=""),"",WORKDAY(MAX(Overview!$B$2-1,Overview!$B$27-1,IF(K15=0,0,INDEX(F$2:F$29,K15)),IFERROR(LOOKUP(2,1/(M$2:M14=M15),P$2:P14),0)),1))))</f>
        <v/>
      </c>
      <c r="F15" s="16">
        <f>IF(G15&gt;=1,E15,IF(E15="","",WORKDAY(E15,D15-1)))</f>
        <v/>
      </c>
      <c r="G15" s="22" t="n">
        <v>1</v>
      </c>
      <c r="H15" s="12">
        <f>IF(G15&gt;=1,"Done",IF(O15="","Scope pending",IF(E15="","Waiting on dependency",IF(G15&gt;0,"In progress","Planned"))))</f>
        <v/>
      </c>
      <c r="I15" s="12">
        <f>IF(E15="","",INT((E15-Overview!$B$2)/7)+1)</f>
        <v/>
      </c>
      <c r="J15" s="12">
        <f>IF(F15="","",INT((F15-Overview!$B$2)/7)+1)</f>
        <v/>
      </c>
      <c r="K15" s="18" t="n">
        <v>13</v>
      </c>
      <c r="L15" s="18" t="n">
        <v>8</v>
      </c>
      <c r="M15" s="12" t="inlineStr">
        <is>
          <t>D</t>
        </is>
      </c>
      <c r="N15" s="16" t="n">
        <v>46304</v>
      </c>
      <c r="O15" s="18">
        <f>IF(AND(Q15&lt;&gt;"",Q15&gt;0),ROUNDUP(Q15/Overview!$B$31,0),IF(OR(L15="",L15&lt;=0,Overview!$B$9&lt;=0),"",ROUNDUP(L15/Overview!$B$9,0)))</f>
        <v/>
      </c>
      <c r="P15" s="16">
        <f>MAX(IFERROR(LOOKUP(2,1/(M$2:M14=M15),P$2:P14),0),IF(G15&gt;=1,0,IF(F15="",0,F15)))</f>
        <v/>
      </c>
    </row>
    <row r="16" ht="15" customHeight="1" s="13">
      <c r="A16" s="12" t="n">
        <v>15</v>
      </c>
      <c r="B16" s="12" t="inlineStr">
        <is>
          <t>Collections</t>
        </is>
      </c>
      <c r="C16" s="12" t="inlineStr">
        <is>
          <t>Browse collections: Done — home, bucket/private grids, filters, empty state, coin details; shared catalogue Pagination on grids</t>
        </is>
      </c>
      <c r="D16" s="18">
        <f>IF(G16&gt;=1,0,IF(O16="","",ROUNDUP(O16*(1-G16),0)))</f>
        <v/>
      </c>
      <c r="E16" s="16">
        <f>IF(G16&gt;=1,IF(N16="",Overview!$B$27,N16),IF(D16="","",IF(IF(K16=0,FALSE(),INDEX(F$2:F$29,K16)=""),"",WORKDAY(MAX(Overview!$B$2-1,Overview!$B$27-1,IF(K16=0,0,INDEX(F$2:F$29,K16)),IFERROR(LOOKUP(2,1/(M$2:M15=M16),P$2:P15),0)),1))))</f>
        <v/>
      </c>
      <c r="F16" s="16">
        <f>IF(G16&gt;=1,E16,IF(E16="","",WORKDAY(E16,D16-1)))</f>
        <v/>
      </c>
      <c r="G16" s="22" t="n">
        <v>1</v>
      </c>
      <c r="H16" s="12">
        <f>IF(G16&gt;=1,"Done",IF(O16="","Scope pending",IF(E16="","Waiting on dependency",IF(G16&gt;0,"In progress","Planned"))))</f>
        <v/>
      </c>
      <c r="I16" s="12">
        <f>IF(E16="","",INT((E16-Overview!$B$2)/7)+1)</f>
        <v/>
      </c>
      <c r="J16" s="12">
        <f>IF(F16="","",INT((F16-Overview!$B$2)/7)+1)</f>
        <v/>
      </c>
      <c r="K16" s="18" t="n">
        <v>7</v>
      </c>
      <c r="L16" s="18" t="n">
        <v>6</v>
      </c>
      <c r="M16" s="12" t="inlineStr">
        <is>
          <t>E</t>
        </is>
      </c>
      <c r="N16" s="16" t="n">
        <v>46304</v>
      </c>
      <c r="O16" s="18">
        <f>IF(AND(Q16&lt;&gt;"",Q16&gt;0),ROUNDUP(Q16/Overview!$B$31,0),IF(OR(L16="",L16&lt;=0,Overview!$B$9&lt;=0),"",ROUNDUP(L16/Overview!$B$9,0)))</f>
        <v/>
      </c>
      <c r="P16" s="16">
        <f>MAX(IFERROR(LOOKUP(2,1/(M$2:M15=M16),P$2:P15),0),IF(G16&gt;=1,0,IF(F16="",0,F16)))</f>
        <v/>
      </c>
    </row>
    <row r="17" ht="15" customHeight="1" s="13">
      <c r="A17" s="12" t="n">
        <v>16</v>
      </c>
      <c r="B17" s="12" t="inlineStr">
        <is>
          <t>Collections</t>
        </is>
      </c>
      <c r="C17" s="12" t="inlineStr">
        <is>
          <t>Manage collection: Done. Edit/rename + leftover 27 cancelled (out of scope).</t>
        </is>
      </c>
      <c r="D17" s="18">
        <f>IF(G17&gt;=1,0,IF(O17="","",ROUNDUP(O17*(1-G17),0)))</f>
        <v/>
      </c>
      <c r="E17" s="16">
        <f>IF(G17&gt;=1,IF(N17="",Overview!$B$27,N17),IF(D17="","",IF(IF(K17=0,FALSE(),INDEX(F$2:F$29,K17)=""),"",WORKDAY(MAX(Overview!$B$2-1,Overview!$B$27-1,IF(K17=0,0,INDEX(F$2:F$29,K17)),IFERROR(LOOKUP(2,1/(M$2:M16=M17),P$2:P16),0)),1))))</f>
        <v/>
      </c>
      <c r="F17" s="16">
        <f>IF(G17&gt;=1,E17,IF(E17="","",WORKDAY(E17,D17-1)))</f>
        <v/>
      </c>
      <c r="G17" s="22" t="n">
        <v>1</v>
      </c>
      <c r="H17" s="12">
        <f>IF(G17&gt;=1,"Done",IF(O17="","Scope pending",IF(E17="","Waiting on dependency",IF(G17&gt;0,"In progress","Planned"))))</f>
        <v/>
      </c>
      <c r="I17" s="12">
        <f>IF(E17="","",INT((E17-Overview!$B$2)/7)+1)</f>
        <v/>
      </c>
      <c r="J17" s="12">
        <f>IF(F17="","",INT((F17-Overview!$B$2)/7)+1)</f>
        <v/>
      </c>
      <c r="K17" s="18" t="n">
        <v>15</v>
      </c>
      <c r="L17" s="18" t="n">
        <v>6</v>
      </c>
      <c r="M17" s="12" t="inlineStr">
        <is>
          <t>E</t>
        </is>
      </c>
      <c r="N17" s="16" t="n">
        <v>46304</v>
      </c>
      <c r="O17" s="18">
        <f>IF(AND(Q17&lt;&gt;"",Q17&gt;0),ROUNDUP(Q17/Overview!$B$31,0),IF(OR(L17="",L17&lt;=0,Overview!$B$9&lt;=0),"",ROUNDUP(L17/Overview!$B$9,0)))</f>
        <v/>
      </c>
      <c r="P17" s="16">
        <f>MAX(IFERROR(LOOKUP(2,1/(M$2:M16=M17),P$2:P16),0),IF(G17&gt;=1,0,IF(F17="",0,F17)))</f>
        <v/>
      </c>
    </row>
    <row r="18" ht="15" customHeight="1" s="13">
      <c r="A18" s="12" t="n">
        <v>17</v>
      </c>
      <c r="B18" s="12" t="inlineStr">
        <is>
          <t>Feed</t>
        </is>
      </c>
      <c r="C18" s="12" t="inlineStr">
        <is>
          <t>Community feed: Done: /feed (Figma Copy 951:87324) — composer, post cards (like/bookmark/⋯ edit·delete), create/edit modal (title+content, max 2 images, Discussion/Buy-Sell), delete confirm, toast; Firebase all-posts + Storage posts/{id}/images (Android PostRepository parity)</t>
        </is>
      </c>
      <c r="D18" s="18">
        <f>IF(G18&gt;=1,0,IF(O18="","",ROUNDUP(O18*(1-G18),0)))</f>
        <v/>
      </c>
      <c r="E18" s="16">
        <f>IF(G18&gt;=1,IF(N18="",Overview!$B$27,N18),IF(D18="","",IF(IF(K18=0,FALSE(),INDEX(F$2:F$29,K18)=""),"",WORKDAY(MAX(Overview!$B$2-1,Overview!$B$27-1,IF(K18=0,0,INDEX(F$2:F$29,K18)),IFERROR(LOOKUP(2,1/(M$2:M17=M18),P$2:P17),0)),1))))</f>
        <v/>
      </c>
      <c r="F18" s="16">
        <f>IF(G18&gt;=1,E18,IF(E18="","",WORKDAY(E18,D18-1)))</f>
        <v/>
      </c>
      <c r="G18" s="22" t="n">
        <v>1</v>
      </c>
      <c r="H18" s="12">
        <f>IF(G18&gt;=1,"Done",IF(O18="","Scope pending",IF(E18="","Waiting on dependency",IF(G18&gt;0,"In progress","Planned"))))</f>
        <v/>
      </c>
      <c r="I18" s="12">
        <f>IF(E18="","",INT((E18-Overview!$B$2)/7)+1)</f>
        <v/>
      </c>
      <c r="J18" s="12">
        <f>IF(F18="","",INT((F18-Overview!$B$2)/7)+1)</f>
        <v/>
      </c>
      <c r="K18" s="18" t="n">
        <v>5</v>
      </c>
      <c r="L18" s="18" t="n">
        <v>6</v>
      </c>
      <c r="M18" s="12" t="inlineStr">
        <is>
          <t>B</t>
        </is>
      </c>
      <c r="N18" s="16" t="inlineStr">
        <is>
          <t>2026-10-09</t>
        </is>
      </c>
      <c r="O18" s="18">
        <f>IF(AND(Q18&lt;&gt;"",Q18&gt;0),ROUNDUP(Q18/Overview!$B$31,0),IF(OR(L18="",L18&lt;=0,Overview!$B$9&lt;=0),"",ROUNDUP(L18/Overview!$B$9,0)))</f>
        <v/>
      </c>
      <c r="P18" s="16">
        <f>MAX(IFERROR(LOOKUP(2,1/(M$2:M17=M18),P$2:P17),0),IF(G18&gt;=1,0,IF(F18="",0,F18)))</f>
        <v/>
      </c>
    </row>
    <row r="19" ht="15" customHeight="1" s="13">
      <c r="A19" s="12" t="n">
        <v>18</v>
      </c>
      <c r="B19" s="12" t="inlineStr">
        <is>
          <t>Feed</t>
        </is>
      </c>
      <c r="C19" s="12" t="inlineStr">
        <is>
          <t>Personal activity: Done: Saved posts + My posts rail; comments/replies modal; inline Notification rail; report; Firestore comments/likes/bookmarks/notifications same paths as Android</t>
        </is>
      </c>
      <c r="D19" s="18">
        <f>IF(G19&gt;=1,0,IF(O19="","",ROUNDUP(O19*(1-G19),0)))</f>
        <v/>
      </c>
      <c r="E19" s="16">
        <f>IF(G19&gt;=1,IF(N19="",Overview!$B$27,N19),IF(D19="","",IF(IF(K19=0,FALSE(),INDEX(F$2:F$29,K19)=""),"",WORKDAY(MAX(Overview!$B$2-1,Overview!$B$27-1,IF(K19=0,0,INDEX(F$2:F$29,K19)),IFERROR(LOOKUP(2,1/(M$2:M18=M19),P$2:P18),0)),1))))</f>
        <v/>
      </c>
      <c r="F19" s="16">
        <f>IF(G19&gt;=1,E19,IF(E19="","",WORKDAY(E19,D19-1)))</f>
        <v/>
      </c>
      <c r="G19" s="22" t="n">
        <v>1</v>
      </c>
      <c r="H19" s="12">
        <f>IF(G19&gt;=1,"Done",IF(O19="","Scope pending",IF(E19="","Waiting on dependency",IF(G19&gt;0,"In progress","Planned"))))</f>
        <v/>
      </c>
      <c r="I19" s="12">
        <f>IF(E19="","",INT((E19-Overview!$B$2)/7)+1)</f>
        <v/>
      </c>
      <c r="J19" s="12">
        <f>IF(F19="","",INT((F19-Overview!$B$2)/7)+1)</f>
        <v/>
      </c>
      <c r="K19" s="18" t="n">
        <v>17</v>
      </c>
      <c r="L19" s="18" t="n">
        <v>4</v>
      </c>
      <c r="M19" s="12" t="inlineStr">
        <is>
          <t>B</t>
        </is>
      </c>
      <c r="N19" s="16" t="inlineStr">
        <is>
          <t>2026-10-09</t>
        </is>
      </c>
      <c r="O19" s="18">
        <f>IF(AND(Q19&lt;&gt;"",Q19&gt;0),ROUNDUP(Q19/Overview!$B$31,0),IF(OR(L19="",L19&lt;=0,Overview!$B$9&lt;=0),"",ROUNDUP(L19/Overview!$B$9,0)))</f>
        <v/>
      </c>
      <c r="P19" s="16">
        <f>MAX(IFERROR(LOOKUP(2,1/(M$2:M18=M19),P$2:P18),0),IF(G19&gt;=1,0,IF(F19="",0,F19)))</f>
        <v/>
      </c>
    </row>
    <row r="20" ht="15" customHeight="1" s="13">
      <c r="A20" s="12" t="n">
        <v>19</v>
      </c>
      <c r="B20" s="12" t="inlineStr">
        <is>
          <t>Settings</t>
        </is>
      </c>
      <c r="C20" s="12" t="inlineStr">
        <is>
          <t>Account settings: Done. Billing entry peeled → leftover task 28 (1h); checkout → Payments 20.</t>
        </is>
      </c>
      <c r="D20" s="18">
        <f>IF(G20&gt;=1,0,IF(O20="","",ROUNDUP(O20*(1-G20),0)))</f>
        <v/>
      </c>
      <c r="E20" s="16">
        <f>IF(G20&gt;=1,IF(N20="",Overview!$B$27,N20),IF(D20="","",IF(IF(K20=0,FALSE(),INDEX(F$2:F$29,K20)=""),"",WORKDAY(MAX(Overview!$B$2-1,Overview!$B$27-1,IF(K20=0,0,INDEX(F$2:F$29,K20)),IFERROR(LOOKUP(2,1/(M$2:M19=M20),P$2:P19),0)),1))))</f>
        <v/>
      </c>
      <c r="F20" s="16">
        <f>IF(G20&gt;=1,E20,IF(E20="","",WORKDAY(E20,D20-1)))</f>
        <v/>
      </c>
      <c r="G20" s="22" t="n">
        <v>1</v>
      </c>
      <c r="H20" s="12">
        <f>IF(G20&gt;=1,"Done",IF(O20="","Scope pending",IF(E20="","Waiting on dependency",IF(G20&gt;0,"In progress","Planned"))))</f>
        <v/>
      </c>
      <c r="I20" s="12">
        <f>IF(E20="","",INT((E20-Overview!$B$2)/7)+1)</f>
        <v/>
      </c>
      <c r="J20" s="12">
        <f>IF(F20="","",INT((F20-Overview!$B$2)/7)+1)</f>
        <v/>
      </c>
      <c r="K20" s="18" t="n">
        <v>18</v>
      </c>
      <c r="L20" s="18" t="n">
        <v>6</v>
      </c>
      <c r="M20" s="12" t="inlineStr">
        <is>
          <t>B</t>
        </is>
      </c>
      <c r="N20" s="16" t="n">
        <v>46304</v>
      </c>
      <c r="O20" s="18">
        <f>IF(AND(Q20&lt;&gt;"",Q20&gt;0),ROUNDUP(Q20/Overview!$B$31,0),IF(OR(L20="",L20&lt;=0,Overview!$B$9&lt;=0),"",ROUNDUP(L20/Overview!$B$9,0)))</f>
        <v/>
      </c>
      <c r="P20" s="16">
        <f>MAX(IFERROR(LOOKUP(2,1/(M$2:M19=M20),P$2:P19),0),IF(G20&gt;=1,0,IF(F20="",0,F20)))</f>
        <v/>
      </c>
    </row>
    <row r="21" ht="15" customHeight="1" s="13">
      <c r="A21" s="12" t="n">
        <v>20</v>
      </c>
      <c r="B21" s="12" t="inlineStr">
        <is>
          <t>Payments (deferred)</t>
        </is>
      </c>
      <c r="C21" s="12" t="inlineStr">
        <is>
          <t>Payments DEFERRED: Experts web credits + Premium checkout + Plan &amp; billing.</t>
        </is>
      </c>
      <c r="D21" s="18">
        <f>IF(G21&gt;=1,0,IF(O21="","",ROUNDUP(O21*(1-G21),0)))</f>
        <v/>
      </c>
      <c r="E21" s="16">
        <f>IF(G21&gt;=1,IF(N21="",Overview!$B$27,N21),IF(D21="","",IF(IF(K21=0,FALSE(),INDEX(F$2:F$29,K21)=""),"",WORKDAY(MAX(Overview!$B$2-1,Overview!$B$27-1,IF(K21=0,0,INDEX(F$2:F$29,K21)),IFERROR(LOOKUP(2,1/(M$2:M20=M21),P$2:P20),0)),1))))</f>
        <v/>
      </c>
      <c r="F21" s="16">
        <f>IF(G21&gt;=1,E21,IF(E21="","",WORKDAY(E21,D21-1)))</f>
        <v/>
      </c>
      <c r="G21" s="22" t="n">
        <v>0</v>
      </c>
      <c r="H21" s="12">
        <f>IF(G21&gt;=1,"Done",IF(O21="","Scope pending",IF(E21="","Waiting on dependency",IF(G21&gt;0,"In progress","Planned"))))</f>
        <v/>
      </c>
      <c r="I21" s="12">
        <f>IF(E21="","",INT((E21-Overview!$B$2)/7)+1)</f>
        <v/>
      </c>
      <c r="J21" s="12">
        <f>IF(F21="","",INT((F21-Overview!$B$2)/7)+1)</f>
        <v/>
      </c>
      <c r="K21" s="18" t="n">
        <v>3</v>
      </c>
      <c r="L21" s="18" t="n"/>
      <c r="M21" s="12" t="inlineStr">
        <is>
          <t>A</t>
        </is>
      </c>
      <c r="N21" s="16" t="n"/>
      <c r="O21" s="18">
        <f>IF(AND(Q21&lt;&gt;"",Q21&gt;0),ROUNDUP(Q21/Overview!$B$31,0),IF(OR(L21="",L21&lt;=0,Overview!$B$9&lt;=0),"",ROUNDUP(L21/Overview!$B$9,0)))</f>
        <v/>
      </c>
      <c r="P21" s="16">
        <f>MAX(IFERROR(LOOKUP(2,1/(M$2:M20=M21),P$2:P20),0),IF(G21&gt;=1,0,IF(F21="",0,F21)))</f>
        <v/>
      </c>
    </row>
    <row r="22" ht="15" customHeight="1" s="13">
      <c r="A22" s="12" t="n">
        <v>21</v>
      </c>
      <c r="B22" s="12" t="inlineStr">
        <is>
          <t>Payments (deferred)</t>
        </is>
      </c>
      <c r="C22" s="12" t="inlineStr">
        <is>
          <t>Folded into task 20 — deferred payments (unscheduled).</t>
        </is>
      </c>
      <c r="D22" s="18">
        <f>IF(G22&gt;=1,0,IF(O22="","",ROUNDUP(O22*(1-G22),0)))</f>
        <v/>
      </c>
      <c r="E22" s="16">
        <f>IF(G22&gt;=1,IF(N22="",Overview!$B$27,N22),IF(D22="","",IF(IF(K22=0,FALSE(),INDEX(F$2:F$29,K22)=""),"",WORKDAY(MAX(Overview!$B$2-1,Overview!$B$27-1,IF(K22=0,0,INDEX(F$2:F$29,K22)),IFERROR(LOOKUP(2,1/(M$2:M21=M22),P$2:P21),0)),1))))</f>
        <v/>
      </c>
      <c r="F22" s="16">
        <f>IF(G22&gt;=1,E22,IF(E22="","",WORKDAY(E22,D22-1)))</f>
        <v/>
      </c>
      <c r="G22" s="22" t="n">
        <v>0</v>
      </c>
      <c r="H22" s="12">
        <f>IF(G22&gt;=1,"Done",IF(O22="","Scope pending",IF(E22="","Waiting on dependency",IF(G22&gt;0,"In progress","Planned"))))</f>
        <v/>
      </c>
      <c r="I22" s="12">
        <f>IF(E22="","",INT((E22-Overview!$B$2)/7)+1)</f>
        <v/>
      </c>
      <c r="J22" s="12">
        <f>IF(F22="","",INT((F22-Overview!$B$2)/7)+1)</f>
        <v/>
      </c>
      <c r="K22" s="18" t="n">
        <v>20</v>
      </c>
      <c r="L22" s="18" t="n"/>
      <c r="M22" s="12" t="inlineStr">
        <is>
          <t>A</t>
        </is>
      </c>
      <c r="N22" s="16" t="n"/>
      <c r="O22" s="18">
        <f>IF(AND(Q22&lt;&gt;"",Q22&gt;0),ROUNDUP(Q22/Overview!$B$31,0),IF(OR(L22="",L22&lt;=0,Overview!$B$9&lt;=0),"",ROUNDUP(L22/Overview!$B$9,0)))</f>
        <v/>
      </c>
      <c r="P22" s="16">
        <f>MAX(IFERROR(LOOKUP(2,1/(M$2:M21=M22),P$2:P21),0),IF(G22&gt;=1,0,IF(F22="",0,F22)))</f>
        <v/>
      </c>
    </row>
    <row r="23" ht="15" customHeight="1" s="13">
      <c r="A23" s="12" t="n">
        <v>22</v>
      </c>
      <c r="B23" s="12" t="inlineStr">
        <is>
          <t>Review and fixes</t>
        </is>
      </c>
      <c r="C23" s="12" t="inlineStr">
        <is>
          <t>E2E QA + ClickUp bug backlog: 13 fixed / 34 pts on 2026-10-28; 63 open / 147 pts → ~5 agent days (40h) at 34 pts/day. british-coins empty chip + other-apps Coming soon intentional.</t>
        </is>
      </c>
      <c r="D23" s="18">
        <f>IF(G23&gt;=1,0,IF(O23="","",ROUNDUP(O23*(1-G23),0)))</f>
        <v/>
      </c>
      <c r="E23" s="16">
        <f>IF(G23&gt;=1,IF(N23="",Overview!$B$27,N23),IF(D23="","",IF(COUNTIF(H2:H22,"Waiting on dependency")+COUNTIF(H24:H29,"Waiting on dependency")&gt;0,"",WORKDAY(MAX(Overview!$B$2-1,Overview!$B$27-1,MAX(F2:F22,F24:F29)),1))))</f>
      </c>
      <c r="F23" s="16">
        <f>IF(G23&gt;=1,E23,IF(E23="","",WORKDAY(E23,D23-1)))</f>
        <v/>
      </c>
      <c r="G23" s="22" t="n">
        <v>0</v>
      </c>
      <c r="H23" s="12">
        <f>IF(G23&gt;=1,"Done",IF(O23="","Scope pending",IF(E23="","Waiting on dependency",IF(G23&gt;0,"In progress","Planned"))))</f>
        <v/>
      </c>
      <c r="I23" s="12">
        <f>IF(E23="","",INT((E23-Overview!$B$2)/7)+1)</f>
        <v/>
      </c>
      <c r="J23" s="12">
        <f>IF(F23="","",INT((F23-Overview!$B$2)/7)+1)</f>
        <v/>
      </c>
      <c r="K23" s="18" t="n">
        <v>0</v>
      </c>
      <c r="L23" s="18"/>
      <c r="M23" s="12" t="inlineStr">
        <is>
          <t>QA</t>
        </is>
      </c>
      <c r="N23" s="16" t="n"/>
      <c r="O23" s="18">
        <f>IF(AND(Q23&lt;&gt;"",Q23&gt;0),ROUNDUP(Q23/Overview!$B$31,0),IF(OR(L23="",L23&lt;=0,Overview!$B$9&lt;=0),"",ROUNDUP(L23/Overview!$B$9,0)))</f>
        <v/>
      </c>
      <c r="P23" s="16">
        <f>MAX(IFERROR(LOOKUP(2,1/(M$2:M22=M23),P$2:P22),0),IF(G23&gt;=1,0,IF(F23="",0,F23)))</f>
        <v/>
      </c>
      <c r="Q23" s="12">
        <v>40</v>
      </c>
    </row>
    <row r="24" ht="15" customHeight="1" s="13">
      <c r="A24" s="12" t="n">
        <v>23</v>
      </c>
      <c r="B24" s="12" t="inlineStr">
        <is>
          <t>Blogs</t>
        </is>
      </c>
      <c r="C24" s="12" t="inlineStr">
        <is>
          <t>Blog experience: Done: six articles, category filtering and load more; duration unscheduled</t>
        </is>
      </c>
      <c r="D24" s="18">
        <f>IF(G24&gt;=1,0,IF(O24="","",ROUNDUP(O24*(1-G24),0)))</f>
        <v/>
      </c>
      <c r="E24" s="16">
        <f>IF(G24&gt;=1,IF(N24="",Overview!$B$27,N24),IF(D24="","",IF(IF(K24=0,FALSE(),INDEX(F$2:F$29,K24)=""),"",WORKDAY(MAX(Overview!$B$2-1,Overview!$B$27-1,IF(K24=0,0,INDEX(F$2:F$29,K24)),IFERROR(LOOKUP(2,1/(M$2:M23=M24),P$2:P23),0)),1))))</f>
        <v/>
      </c>
      <c r="F24" s="16">
        <f>IF(G24&gt;=1,E24,IF(E24="","",WORKDAY(E24,D24-1)))</f>
        <v/>
      </c>
      <c r="G24" s="22" t="n">
        <v>1</v>
      </c>
      <c r="H24" s="12">
        <f>IF(G24&gt;=1,"Done",IF(O24="","Scope pending",IF(E24="","Waiting on dependency",IF(G24&gt;0,"In progress","Planned"))))</f>
        <v/>
      </c>
      <c r="I24" s="12">
        <f>IF(E24="","",INT((E24-Overview!$B$2)/7)+1)</f>
        <v/>
      </c>
      <c r="J24" s="12">
        <f>IF(F24="","",INT((F24-Overview!$B$2)/7)+1)</f>
        <v/>
      </c>
      <c r="K24" s="18" t="inlineStr">
        <is>
          <t>Parallel</t>
        </is>
      </c>
      <c r="L24" s="18" t="n"/>
      <c r="N24" s="16" t="n">
        <v>46300</v>
      </c>
      <c r="O24" s="18">
        <f>IF(AND(Q24&lt;&gt;"",Q24&gt;0),ROUNDUP(Q24/Overview!$B$31,0),IF(OR(L24="",L24&lt;=0,Overview!$B$9&lt;=0),"",ROUNDUP(L24/Overview!$B$9,0)))</f>
        <v/>
      </c>
      <c r="P24" s="16">
        <f>MAX(IFERROR(LOOKUP(2,1/(M$2:M23=M24),P$2:P23),0),IF(G24&gt;=1,0,IF(F24="",0,F24)))</f>
        <v/>
      </c>
    </row>
    <row r="25">
      <c r="A25" s="12" t="n">
        <v>24</v>
      </c>
      <c r="B25" s="12" t="inlineStr">
        <is>
          <t>Leftovers (hours)</t>
        </is>
      </c>
      <c r="C25" s="12" t="inlineStr">
        <is>
          <t>Landing Expert CTAs: Done — Get Expert’s opinion? / View all → /auth?next=/experts</t>
        </is>
      </c>
      <c r="D25" s="12">
        <f>IF(G25&gt;=1,0,IF(O25="","",ROUNDUP(O25*(1-G25),0)))</f>
        <v/>
      </c>
      <c r="E25" s="12">
        <f>IF(G25&gt;=1,IF(N25="",Overview!$B$27,N25),IF(D25="","",IF(IF(K25=0,FALSE(),INDEX(F$2:F$29,K25)=""),"",WORKDAY(MAX(Overview!$B$2-1,Overview!$B$27-1,IF(K25=0,0,INDEX(F$2:F$29,K25)),IFERROR(LOOKUP(2,1/(M$2:M24=M25),P$2:P24),0)),1))))</f>
        <v/>
      </c>
      <c r="F25" s="12">
        <f>IF(G25&gt;=1,E25,IF(E25="","",WORKDAY(E25,D25-1)))</f>
        <v/>
      </c>
      <c r="G25" s="12" t="n">
        <v>1</v>
      </c>
      <c r="H25" s="12">
        <f>IF(G25&gt;=1,"Done",IF(O25="","Scope pending",IF(E25="","Waiting on dependency",IF(G25&gt;0,"In progress","Planned"))))</f>
        <v/>
      </c>
      <c r="I25" s="12">
        <f>IF(E25="","",INT((E25-Overview!$B$2)/7)+1)</f>
        <v/>
      </c>
      <c r="J25" s="12">
        <f>IF(F25="","",INT((F25-Overview!$B$2)/7)+1)</f>
        <v/>
      </c>
      <c r="K25" s="12" t="n">
        <v>2</v>
      </c>
      <c r="M25" s="12" t="inlineStr">
        <is>
          <t>A</t>
        </is>
      </c>
      <c r="N25" s="24" t="n">
        <v>46304</v>
      </c>
      <c r="O25" s="12">
        <f>IF(AND(Q25&lt;&gt;"",Q25&gt;0),ROUNDUP(Q25/Overview!$B$31,0),IF(OR(L25="",L25&lt;=0,Overview!$B$9&lt;=0),"",ROUNDUP(L25/Overview!$B$9,0)))</f>
        <v/>
      </c>
      <c r="P25" s="12">
        <f>MAX(IFERROR(LOOKUP(2,1/(M$2:M24=M25),P$2:P24),0),IF(G25&gt;=1,0,IF(F25="",0,F25)))</f>
        <v/>
      </c>
      <c r="Q25" s="12" t="n">
        <v>1</v>
      </c>
    </row>
    <row r="26">
      <c r="A26" s="12" t="n">
        <v>25</v>
      </c>
      <c r="B26" s="12" t="inlineStr">
        <is>
          <t>Leftovers (hours)</t>
        </is>
      </c>
      <c r="C26" s="12" t="inlineStr">
        <is>
          <t>Identify rate-match: Done — Figma rate card (Stroke + Solid primary selected) + Message/Submit; dummy Feedback sent toast (no API).</t>
        </is>
      </c>
      <c r="D26" s="12">
        <f>IF(G26&gt;=1,0,IF(O26="","",ROUNDUP(O26*(1-G26),0)))</f>
        <v/>
      </c>
      <c r="E26" s="12">
        <f>IF(G26&gt;=1,IF(N26="",Overview!$B$27,N26),IF(D26="","",IF(IF(K26=0,FALSE(),INDEX(F$2:F$29,K26)=""),"",WORKDAY(MAX(Overview!$B$2-1,Overview!$B$27-1,IF(K26=0,0,INDEX(F$2:F$29,K26)),IFERROR(LOOKUP(2,1/(M$2:M25=M26),P$2:P25),0)),1))))</f>
        <v/>
      </c>
      <c r="F26" s="12">
        <f>IF(G26&gt;=1,E26,IF(E26="","",WORKDAY(E26,D26-1)))</f>
        <v/>
      </c>
      <c r="G26" s="12" t="n">
        <v>1</v>
      </c>
      <c r="H26" s="12">
        <f>IF(G26&gt;=1,"Done",IF(O26="","Scope pending",IF(E26="","Waiting on dependency",IF(G26&gt;0,"In progress","Planned"))))</f>
        <v/>
      </c>
      <c r="I26" s="12">
        <f>IF(E26="","",INT((E26-Overview!$B$2)/7)+1)</f>
        <v/>
      </c>
      <c r="J26" s="12">
        <f>IF(F26="","",INT((F26-Overview!$B$2)/7)+1)</f>
        <v/>
      </c>
      <c r="K26" s="12" t="n">
        <v>7</v>
      </c>
      <c r="M26" s="12" t="inlineStr">
        <is>
          <t>C</t>
        </is>
      </c>
      <c r="N26" s="24" t="n">
        <v>46309</v>
      </c>
      <c r="O26" s="12">
        <f>IF(AND(Q26&lt;&gt;"",Q26&gt;0),ROUNDUP(Q26/Overview!$B$31,0),IF(OR(L26="",L26&lt;=0,Overview!$B$9&lt;=0),"",ROUNDUP(L26/Overview!$B$9,0)))</f>
        <v/>
      </c>
      <c r="P26" s="12">
        <f>MAX(IFERROR(LOOKUP(2,1/(M$2:M25=M26),P$2:P25),0),IF(G26&gt;=1,0,IF(F26="",0,F26)))</f>
        <v/>
      </c>
      <c r="Q26" s="12" t="n">
        <v>3</v>
      </c>
    </row>
    <row r="27">
      <c r="A27" s="12" t="n">
        <v>26</v>
      </c>
      <c r="B27" s="12" t="inlineStr">
        <is>
          <t>Leftovers (hours)</t>
        </is>
      </c>
      <c r="C27" s="12" t="inlineStr">
        <is>
          <t>Experts Socket.IO: Done — socket.io-client → Experts host auth.userId; events trigger REST refresh / router.refresh. Poll kept as fallback.</t>
        </is>
      </c>
      <c r="D27" s="12">
        <f>IF(G27&gt;=1,0,IF(O27="","",ROUNDUP(O27*(1-G27),0)))</f>
        <v/>
      </c>
      <c r="E27" s="12">
        <f>IF(G27&gt;=1,IF(N27="",Overview!$B$27,N27),IF(D27="","",IF(IF(K27=0,FALSE(),INDEX(F$2:F$29,K27)=""),"",WORKDAY(MAX(Overview!$B$2-1,Overview!$B$27-1,IF(K27=0,0,INDEX(F$2:F$29,K27)),IFERROR(LOOKUP(2,1/(M$2:M26=M27),P$2:P26),0)),1))))</f>
        <v/>
      </c>
      <c r="F27" s="12">
        <f>IF(G27&gt;=1,E27,IF(E27="","",WORKDAY(E27,D27-1)))</f>
        <v/>
      </c>
      <c r="G27" s="12" t="n">
        <v>1</v>
      </c>
      <c r="H27" s="12">
        <f>IF(G27&gt;=1,"Done",IF(O27="","Scope pending",IF(E27="","Waiting on dependency",IF(G27&gt;0,"In progress","Planned"))))</f>
        <v/>
      </c>
      <c r="I27" s="12">
        <f>IF(E27="","",INT((E27-Overview!$B$2)/7)+1)</f>
        <v/>
      </c>
      <c r="J27" s="12">
        <f>IF(F27="","",INT((F27-Overview!$B$2)/7)+1)</f>
        <v/>
      </c>
      <c r="K27" s="12" t="n">
        <v>9</v>
      </c>
      <c r="M27" s="12" t="inlineStr">
        <is>
          <t>C</t>
        </is>
      </c>
      <c r="N27" s="24" t="n">
        <v>46309</v>
      </c>
      <c r="O27" s="12">
        <f>IF(AND(Q27&lt;&gt;"",Q27&gt;0),ROUNDUP(Q27/Overview!$B$31,0),IF(OR(L27="",L27&lt;=0,Overview!$B$9&lt;=0),"",ROUNDUP(L27/Overview!$B$9,0)))</f>
        <v/>
      </c>
      <c r="P27" s="12">
        <f>MAX(IFERROR(LOOKUP(2,1/(M$2:M26=M27),P$2:P26),0),IF(G27&gt;=1,0,IF(F27="",0,F27)))</f>
        <v/>
      </c>
      <c r="Q27" s="12" t="n">
        <v>8</v>
      </c>
    </row>
    <row r="28">
      <c r="A28" s="12" t="n">
        <v>27</v>
      </c>
      <c r="B28" s="12" t="inlineStr">
        <is>
          <t>Leftovers (hours)</t>
        </is>
      </c>
      <c r="C28" s="12" t="inlineStr">
        <is>
          <t>(cancelled — was manage polish): Out of scope. Edit/rename private not on web. ID kept.</t>
        </is>
      </c>
      <c r="D28" s="12">
        <f>IF(G28&gt;=1,0,IF(O28="","",ROUNDUP(O28*(1-G28),0)))</f>
        <v/>
      </c>
      <c r="E28" s="12">
        <f>IF(G28&gt;=1,IF(N28="",Overview!$B$27,N28),IF(D28="","",IF(IF(K28=0,FALSE(),INDEX(F$2:F$29,K28)=""),"",WORKDAY(MAX(Overview!$B$2-1,Overview!$B$27-1,IF(K28=0,0,INDEX(F$2:F$29,K28)),IFERROR(LOOKUP(2,1/(M$2:M27=M28),P$2:P27),0)),1))))</f>
        <v/>
      </c>
      <c r="F28" s="12">
        <f>IF(G28&gt;=1,E28,IF(E28="","",WORKDAY(E28,D28-1)))</f>
        <v/>
      </c>
      <c r="G28" s="12" t="n">
        <v>1</v>
      </c>
      <c r="H28" s="12">
        <f>IF(G28&gt;=1,"Done",IF(O28="","Scope pending",IF(E28="","Waiting on dependency",IF(G28&gt;0,"In progress","Planned"))))</f>
        <v/>
      </c>
      <c r="I28" s="12">
        <f>IF(E28="","",INT((E28-Overview!$B$2)/7)+1)</f>
        <v/>
      </c>
      <c r="J28" s="12">
        <f>IF(F28="","",INT((F28-Overview!$B$2)/7)+1)</f>
        <v/>
      </c>
      <c r="K28" s="12" t="n">
        <v>0</v>
      </c>
      <c r="M28" s="12" t="inlineStr">
        <is>
          <t>E</t>
        </is>
      </c>
      <c r="N28" s="24" t="n">
        <v>46304</v>
      </c>
      <c r="O28" s="12">
        <f>IF(AND(Q28&lt;&gt;"",Q28&gt;0),ROUNDUP(Q28/Overview!$B$31,0),IF(OR(L28="",L28&lt;=0,Overview!$B$9&lt;=0),"",ROUNDUP(L28/Overview!$B$9,0)))</f>
        <v/>
      </c>
      <c r="P28" s="12">
        <f>MAX(IFERROR(LOOKUP(2,1/(M$2:M27=M28),P$2:P27),0),IF(G28&gt;=1,0,IF(F28="",0,F28)))</f>
        <v/>
      </c>
      <c r="Q28" s="12" t="n"/>
    </row>
    <row r="29">
      <c r="A29" s="12" t="n">
        <v>28</v>
      </c>
      <c r="B29" s="12" t="inlineStr">
        <is>
          <t>Leftovers (hours)</t>
        </is>
      </c>
      <c r="C29" s="12" t="inlineStr">
        <is>
          <t>Settings billing entry: Done — opens test Premium plans. Real gateway → Payments 20.</t>
        </is>
      </c>
      <c r="D29" s="12">
        <f>IF(G29&gt;=1,0,IF(O29="","",ROUNDUP(O29*(1-G29),0)))</f>
        <v/>
      </c>
      <c r="E29" s="12">
        <f>IF(G29&gt;=1,IF(N29="",Overview!$B$27,N29),IF(D29="","",IF(IF(K29=0,FALSE(),INDEX(F$2:F$29,K29)=""),"",WORKDAY(MAX(Overview!$B$2-1,Overview!$B$27-1,IF(K29=0,0,INDEX(F$2:F$29,K29)),IFERROR(LOOKUP(2,1/(M$2:M28=M29),P$2:P28),0)),1))))</f>
        <v/>
      </c>
      <c r="F29" s="12">
        <f>IF(G29&gt;=1,E29,IF(E29="","",WORKDAY(E29,D29-1)))</f>
        <v/>
      </c>
      <c r="G29" s="12" t="n">
        <v>1</v>
      </c>
      <c r="H29" s="12">
        <f>IF(G29&gt;=1,"Done",IF(O29="","Scope pending",IF(E29="","Waiting on dependency",IF(G29&gt;0,"In progress","Planned"))))</f>
        <v/>
      </c>
      <c r="I29" s="12">
        <f>IF(E29="","",INT((E29-Overview!$B$2)/7)+1)</f>
        <v/>
      </c>
      <c r="J29" s="12">
        <f>IF(F29="","",INT((F29-Overview!$B$2)/7)+1)</f>
        <v/>
      </c>
      <c r="K29" s="12" t="n">
        <v>19</v>
      </c>
      <c r="M29" s="12" t="inlineStr">
        <is>
          <t>B</t>
        </is>
      </c>
      <c r="N29" s="24" t="n">
        <v>46309</v>
      </c>
      <c r="O29" s="12">
        <f>IF(AND(Q29&lt;&gt;"",Q29&gt;0),ROUNDUP(Q29/Overview!$B$31,0),IF(OR(L29="",L29&lt;=0,Overview!$B$9&lt;=0),"",ROUNDUP(L29/Overview!$B$9,0)))</f>
        <v/>
      </c>
      <c r="P29" s="12">
        <f>MAX(IFERROR(LOOKUP(2,1/(M$2:M28=M29),P$2:P28),0),IF(G29&gt;=1,0,IF(F29="",0,F29)))</f>
        <v/>
      </c>
      <c r="Q29" s="12" t="n">
        <v>1</v>
      </c>
    </row>
  </sheetData>
  <autoFilter ref="A1:M24"/>
  <dataValidations count="3">
    <dataValidation sqref="L2:L24" showDropDown="0" showInputMessage="0" showErrorMessage="1" allowBlank="0" type="whole" errorStyle="stop" operator="between">
      <formula1>0</formula1>
      <formula2>260</formula2>
    </dataValidation>
    <dataValidation sqref="K2:K24" showDropDown="0" showInputMessage="0" showErrorMessage="1" allowBlank="0" type="whole" errorStyle="stop" operator="between">
      <formula1>0</formula1>
      <formula2>22</formula2>
    </dataValidation>
    <dataValidation sqref="G2:G24" showDropDown="0" showInputMessage="0" showErrorMessage="1" allowBlank="0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C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59765625" defaultRowHeight="15" customHeight="0" zeroHeight="0" outlineLevelRow="0"/>
  <cols>
    <col width="7" customWidth="1" style="12" min="1" max="1"/>
    <col width="23" customWidth="1" style="12" min="2" max="2"/>
    <col width="65" customWidth="1" style="12" min="3" max="3"/>
    <col width="10" customWidth="1" style="12" min="4" max="29"/>
  </cols>
  <sheetData>
    <row r="1" ht="24.75" customHeight="1" s="13">
      <c r="A1" s="14" t="inlineStr">
        <is>
          <t>ID</t>
        </is>
      </c>
      <c r="B1" s="14" t="inlineStr">
        <is>
          <t>Section</t>
        </is>
      </c>
      <c r="C1" s="14" t="inlineStr">
        <is>
          <t>Work package</t>
        </is>
      </c>
      <c r="D1" s="14" t="inlineStr">
        <is>
          <t>Week 1</t>
        </is>
      </c>
      <c r="E1" s="14" t="inlineStr">
        <is>
          <t>Week 2</t>
        </is>
      </c>
      <c r="F1" s="14" t="inlineStr">
        <is>
          <t>Week 3</t>
        </is>
      </c>
      <c r="G1" s="14" t="inlineStr">
        <is>
          <t>Week 4</t>
        </is>
      </c>
      <c r="H1" s="14" t="inlineStr">
        <is>
          <t>Week 5</t>
        </is>
      </c>
      <c r="I1" s="14" t="inlineStr">
        <is>
          <t>Week 6</t>
        </is>
      </c>
      <c r="J1" s="14" t="inlineStr">
        <is>
          <t>Week 7</t>
        </is>
      </c>
      <c r="K1" s="14" t="inlineStr">
        <is>
          <t>Week 8</t>
        </is>
      </c>
      <c r="L1" s="14" t="inlineStr">
        <is>
          <t>Week 9</t>
        </is>
      </c>
      <c r="M1" s="14" t="inlineStr">
        <is>
          <t>Week 10</t>
        </is>
      </c>
      <c r="N1" s="14" t="inlineStr">
        <is>
          <t>Week 11</t>
        </is>
      </c>
      <c r="O1" s="14" t="inlineStr">
        <is>
          <t>Week 12</t>
        </is>
      </c>
      <c r="P1" s="14" t="inlineStr">
        <is>
          <t>Week 13</t>
        </is>
      </c>
      <c r="Q1" s="14" t="inlineStr">
        <is>
          <t>Week 14</t>
        </is>
      </c>
      <c r="R1" s="14" t="inlineStr">
        <is>
          <t>Week 15</t>
        </is>
      </c>
      <c r="S1" s="14" t="inlineStr">
        <is>
          <t>Week 16</t>
        </is>
      </c>
      <c r="T1" s="14" t="inlineStr">
        <is>
          <t>Week 17</t>
        </is>
      </c>
      <c r="U1" s="14" t="inlineStr">
        <is>
          <t>Week 18</t>
        </is>
      </c>
      <c r="V1" s="14" t="inlineStr">
        <is>
          <t>Week 19</t>
        </is>
      </c>
      <c r="W1" s="14" t="inlineStr">
        <is>
          <t>Week 20</t>
        </is>
      </c>
      <c r="X1" s="14" t="inlineStr">
        <is>
          <t>Week 21</t>
        </is>
      </c>
      <c r="Y1" s="14" t="inlineStr">
        <is>
          <t>Week 22</t>
        </is>
      </c>
      <c r="Z1" s="14" t="inlineStr">
        <is>
          <t>Week 23</t>
        </is>
      </c>
      <c r="AA1" s="14" t="inlineStr">
        <is>
          <t>Week 24</t>
        </is>
      </c>
      <c r="AB1" s="14" t="inlineStr">
        <is>
          <t>Week 25</t>
        </is>
      </c>
      <c r="AC1" s="14" t="inlineStr">
        <is>
          <t>Week 26</t>
        </is>
      </c>
    </row>
    <row r="2" ht="16.4" customHeight="1" s="13">
      <c r="A2" s="12">
        <f>'Detailed Timeline'!A2</f>
        <v/>
      </c>
      <c r="B2" s="12">
        <f>'Detailed Timeline'!B2</f>
        <v/>
      </c>
      <c r="C2" s="12">
        <f>'Detailed Timeline'!C2</f>
        <v/>
      </c>
      <c r="D2" s="23">
        <f>IF(OR('Detailed Timeline'!$I2="",'Detailed Timeline'!$J2=""),"",IF(AND(1&gt;='Detailed Timeline'!$I2,1&lt;='Detailed Timeline'!$J2),"■",""))</f>
        <v/>
      </c>
      <c r="E2" s="23">
        <f>IF(OR('Detailed Timeline'!$I2="",'Detailed Timeline'!$J2=""),"",IF(AND(2&gt;='Detailed Timeline'!$I2,2&lt;='Detailed Timeline'!$J2),"■",""))</f>
        <v/>
      </c>
      <c r="F2" s="23">
        <f>IF(OR('Detailed Timeline'!$I2="",'Detailed Timeline'!$J2=""),"",IF(AND(3&gt;='Detailed Timeline'!$I2,3&lt;='Detailed Timeline'!$J2),"■",""))</f>
        <v/>
      </c>
      <c r="G2" s="23">
        <f>IF(OR('Detailed Timeline'!$I2="",'Detailed Timeline'!$J2=""),"",IF(AND(4&gt;='Detailed Timeline'!$I2,4&lt;='Detailed Timeline'!$J2),"■",""))</f>
        <v/>
      </c>
      <c r="H2" s="23">
        <f>IF(OR('Detailed Timeline'!$I2="",'Detailed Timeline'!$J2=""),"",IF(AND(5&gt;='Detailed Timeline'!$I2,5&lt;='Detailed Timeline'!$J2),"■",""))</f>
        <v/>
      </c>
      <c r="I2" s="23">
        <f>IF(OR('Detailed Timeline'!$I2="",'Detailed Timeline'!$J2=""),"",IF(AND(6&gt;='Detailed Timeline'!$I2,6&lt;='Detailed Timeline'!$J2),"■",""))</f>
        <v/>
      </c>
      <c r="J2" s="23">
        <f>IF(OR('Detailed Timeline'!$I2="",'Detailed Timeline'!$J2=""),"",IF(AND(7&gt;='Detailed Timeline'!$I2,7&lt;='Detailed Timeline'!$J2),"■",""))</f>
        <v/>
      </c>
      <c r="K2" s="23">
        <f>IF(OR('Detailed Timeline'!$I2="",'Detailed Timeline'!$J2=""),"",IF(AND(8&gt;='Detailed Timeline'!$I2,8&lt;='Detailed Timeline'!$J2),"■",""))</f>
        <v/>
      </c>
      <c r="L2" s="23">
        <f>IF(OR('Detailed Timeline'!$I2="",'Detailed Timeline'!$J2=""),"",IF(AND(9&gt;='Detailed Timeline'!$I2,9&lt;='Detailed Timeline'!$J2),"■",""))</f>
        <v/>
      </c>
      <c r="M2" s="23">
        <f>IF(OR('Detailed Timeline'!$I2="",'Detailed Timeline'!$J2=""),"",IF(AND(10&gt;='Detailed Timeline'!$I2,10&lt;='Detailed Timeline'!$J2),"■",""))</f>
        <v/>
      </c>
      <c r="N2" s="23">
        <f>IF(OR('Detailed Timeline'!$I2="",'Detailed Timeline'!$J2=""),"",IF(AND(11&gt;='Detailed Timeline'!$I2,11&lt;='Detailed Timeline'!$J2),"■",""))</f>
        <v/>
      </c>
      <c r="O2" s="23">
        <f>IF(OR('Detailed Timeline'!$I2="",'Detailed Timeline'!$J2=""),"",IF(AND(12&gt;='Detailed Timeline'!$I2,12&lt;='Detailed Timeline'!$J2),"■",""))</f>
        <v/>
      </c>
      <c r="P2" s="23">
        <f>IF(OR('Detailed Timeline'!$I2="",'Detailed Timeline'!$J2=""),"",IF(AND(13&gt;='Detailed Timeline'!$I2,13&lt;='Detailed Timeline'!$J2),"■",""))</f>
        <v/>
      </c>
      <c r="Q2" s="23">
        <f>IF(OR('Detailed Timeline'!$I2="",'Detailed Timeline'!$J2=""),"",IF(AND(14&gt;='Detailed Timeline'!$I2,14&lt;='Detailed Timeline'!$J2),"■",""))</f>
        <v/>
      </c>
      <c r="R2" s="23">
        <f>IF(OR('Detailed Timeline'!$I2="",'Detailed Timeline'!$J2=""),"",IF(AND(15&gt;='Detailed Timeline'!$I2,15&lt;='Detailed Timeline'!$J2),"■",""))</f>
        <v/>
      </c>
      <c r="S2" s="23">
        <f>IF(OR('Detailed Timeline'!$I2="",'Detailed Timeline'!$J2=""),"",IF(AND(16&gt;='Detailed Timeline'!$I2,16&lt;='Detailed Timeline'!$J2),"■",""))</f>
        <v/>
      </c>
      <c r="T2" s="23">
        <f>IF(OR('Detailed Timeline'!$I2="",'Detailed Timeline'!$J2=""),"",IF(AND(17&gt;='Detailed Timeline'!$I2,17&lt;='Detailed Timeline'!$J2),"■",""))</f>
        <v/>
      </c>
      <c r="U2" s="23">
        <f>IF(OR('Detailed Timeline'!$I2="",'Detailed Timeline'!$J2=""),"",IF(AND(18&gt;='Detailed Timeline'!$I2,18&lt;='Detailed Timeline'!$J2),"■",""))</f>
        <v/>
      </c>
      <c r="V2" s="23">
        <f>IF(OR('Detailed Timeline'!$I2="",'Detailed Timeline'!$J2=""),"",IF(AND(19&gt;='Detailed Timeline'!$I2,19&lt;='Detailed Timeline'!$J2),"■",""))</f>
        <v/>
      </c>
      <c r="W2" s="23">
        <f>IF(OR('Detailed Timeline'!$I2="",'Detailed Timeline'!$J2=""),"",IF(AND(20&gt;='Detailed Timeline'!$I2,20&lt;='Detailed Timeline'!$J2),"■",""))</f>
        <v/>
      </c>
      <c r="X2" s="23">
        <f>IF(OR('Detailed Timeline'!$I2="",'Detailed Timeline'!$J2=""),"",IF(AND(21&gt;='Detailed Timeline'!$I2,21&lt;='Detailed Timeline'!$J2),"■",""))</f>
        <v/>
      </c>
      <c r="Y2" s="23">
        <f>IF(OR('Detailed Timeline'!$I2="",'Detailed Timeline'!$J2=""),"",IF(AND(22&gt;='Detailed Timeline'!$I2,22&lt;='Detailed Timeline'!$J2),"■",""))</f>
        <v/>
      </c>
      <c r="Z2" s="23">
        <f>IF(OR('Detailed Timeline'!$I2="",'Detailed Timeline'!$J2=""),"",IF(AND(23&gt;='Detailed Timeline'!$I2,23&lt;='Detailed Timeline'!$J2),"■",""))</f>
        <v/>
      </c>
      <c r="AA2" s="23">
        <f>IF(OR('Detailed Timeline'!$I2="",'Detailed Timeline'!$J2=""),"",IF(AND(24&gt;='Detailed Timeline'!$I2,24&lt;='Detailed Timeline'!$J2),"■",""))</f>
        <v/>
      </c>
      <c r="AB2" s="23">
        <f>IF(OR('Detailed Timeline'!$I2="",'Detailed Timeline'!$J2=""),"",IF(AND(25&gt;='Detailed Timeline'!$I2,25&lt;='Detailed Timeline'!$J2),"■",""))</f>
        <v/>
      </c>
      <c r="AC2" s="23">
        <f>IF(OR('Detailed Timeline'!$I2="",'Detailed Timeline'!$J2=""),"",IF(AND(26&gt;='Detailed Timeline'!$I2,26&lt;='Detailed Timeline'!$J2),"■",""))</f>
        <v/>
      </c>
    </row>
    <row r="3" ht="16.4" customHeight="1" s="13">
      <c r="A3" s="12">
        <f>'Detailed Timeline'!A3</f>
        <v/>
      </c>
      <c r="B3" s="12">
        <f>'Detailed Timeline'!B3</f>
        <v/>
      </c>
      <c r="C3" s="12">
        <f>'Detailed Timeline'!C3</f>
        <v/>
      </c>
      <c r="D3" s="23">
        <f>IF(OR('Detailed Timeline'!$I3="",'Detailed Timeline'!$J3=""),"",IF(AND(1&gt;='Detailed Timeline'!$I3,1&lt;='Detailed Timeline'!$J3),"■",""))</f>
        <v/>
      </c>
      <c r="E3" s="23">
        <f>IF(OR('Detailed Timeline'!$I3="",'Detailed Timeline'!$J3=""),"",IF(AND(2&gt;='Detailed Timeline'!$I3,2&lt;='Detailed Timeline'!$J3),"■",""))</f>
        <v/>
      </c>
      <c r="F3" s="23">
        <f>IF(OR('Detailed Timeline'!$I3="",'Detailed Timeline'!$J3=""),"",IF(AND(3&gt;='Detailed Timeline'!$I3,3&lt;='Detailed Timeline'!$J3),"■",""))</f>
        <v/>
      </c>
      <c r="G3" s="23">
        <f>IF(OR('Detailed Timeline'!$I3="",'Detailed Timeline'!$J3=""),"",IF(AND(4&gt;='Detailed Timeline'!$I3,4&lt;='Detailed Timeline'!$J3),"■",""))</f>
        <v/>
      </c>
      <c r="H3" s="23">
        <f>IF(OR('Detailed Timeline'!$I3="",'Detailed Timeline'!$J3=""),"",IF(AND(5&gt;='Detailed Timeline'!$I3,5&lt;='Detailed Timeline'!$J3),"■",""))</f>
        <v/>
      </c>
      <c r="I3" s="23">
        <f>IF(OR('Detailed Timeline'!$I3="",'Detailed Timeline'!$J3=""),"",IF(AND(6&gt;='Detailed Timeline'!$I3,6&lt;='Detailed Timeline'!$J3),"■",""))</f>
        <v/>
      </c>
      <c r="J3" s="23">
        <f>IF(OR('Detailed Timeline'!$I3="",'Detailed Timeline'!$J3=""),"",IF(AND(7&gt;='Detailed Timeline'!$I3,7&lt;='Detailed Timeline'!$J3),"■",""))</f>
        <v/>
      </c>
      <c r="K3" s="23">
        <f>IF(OR('Detailed Timeline'!$I3="",'Detailed Timeline'!$J3=""),"",IF(AND(8&gt;='Detailed Timeline'!$I3,8&lt;='Detailed Timeline'!$J3),"■",""))</f>
        <v/>
      </c>
      <c r="L3" s="23">
        <f>IF(OR('Detailed Timeline'!$I3="",'Detailed Timeline'!$J3=""),"",IF(AND(9&gt;='Detailed Timeline'!$I3,9&lt;='Detailed Timeline'!$J3),"■",""))</f>
        <v/>
      </c>
      <c r="M3" s="23">
        <f>IF(OR('Detailed Timeline'!$I3="",'Detailed Timeline'!$J3=""),"",IF(AND(10&gt;='Detailed Timeline'!$I3,10&lt;='Detailed Timeline'!$J3),"■",""))</f>
        <v/>
      </c>
      <c r="N3" s="23">
        <f>IF(OR('Detailed Timeline'!$I3="",'Detailed Timeline'!$J3=""),"",IF(AND(11&gt;='Detailed Timeline'!$I3,11&lt;='Detailed Timeline'!$J3),"■",""))</f>
        <v/>
      </c>
      <c r="O3" s="23">
        <f>IF(OR('Detailed Timeline'!$I3="",'Detailed Timeline'!$J3=""),"",IF(AND(12&gt;='Detailed Timeline'!$I3,12&lt;='Detailed Timeline'!$J3),"■",""))</f>
        <v/>
      </c>
      <c r="P3" s="23">
        <f>IF(OR('Detailed Timeline'!$I3="",'Detailed Timeline'!$J3=""),"",IF(AND(13&gt;='Detailed Timeline'!$I3,13&lt;='Detailed Timeline'!$J3),"■",""))</f>
        <v/>
      </c>
      <c r="Q3" s="23">
        <f>IF(OR('Detailed Timeline'!$I3="",'Detailed Timeline'!$J3=""),"",IF(AND(14&gt;='Detailed Timeline'!$I3,14&lt;='Detailed Timeline'!$J3),"■",""))</f>
        <v/>
      </c>
      <c r="R3" s="23">
        <f>IF(OR('Detailed Timeline'!$I3="",'Detailed Timeline'!$J3=""),"",IF(AND(15&gt;='Detailed Timeline'!$I3,15&lt;='Detailed Timeline'!$J3),"■",""))</f>
        <v/>
      </c>
      <c r="S3" s="23">
        <f>IF(OR('Detailed Timeline'!$I3="",'Detailed Timeline'!$J3=""),"",IF(AND(16&gt;='Detailed Timeline'!$I3,16&lt;='Detailed Timeline'!$J3),"■",""))</f>
        <v/>
      </c>
      <c r="T3" s="23">
        <f>IF(OR('Detailed Timeline'!$I3="",'Detailed Timeline'!$J3=""),"",IF(AND(17&gt;='Detailed Timeline'!$I3,17&lt;='Detailed Timeline'!$J3),"■",""))</f>
        <v/>
      </c>
      <c r="U3" s="23">
        <f>IF(OR('Detailed Timeline'!$I3="",'Detailed Timeline'!$J3=""),"",IF(AND(18&gt;='Detailed Timeline'!$I3,18&lt;='Detailed Timeline'!$J3),"■",""))</f>
        <v/>
      </c>
      <c r="V3" s="23">
        <f>IF(OR('Detailed Timeline'!$I3="",'Detailed Timeline'!$J3=""),"",IF(AND(19&gt;='Detailed Timeline'!$I3,19&lt;='Detailed Timeline'!$J3),"■",""))</f>
        <v/>
      </c>
      <c r="W3" s="23">
        <f>IF(OR('Detailed Timeline'!$I3="",'Detailed Timeline'!$J3=""),"",IF(AND(20&gt;='Detailed Timeline'!$I3,20&lt;='Detailed Timeline'!$J3),"■",""))</f>
        <v/>
      </c>
      <c r="X3" s="23">
        <f>IF(OR('Detailed Timeline'!$I3="",'Detailed Timeline'!$J3=""),"",IF(AND(21&gt;='Detailed Timeline'!$I3,21&lt;='Detailed Timeline'!$J3),"■",""))</f>
        <v/>
      </c>
      <c r="Y3" s="23">
        <f>IF(OR('Detailed Timeline'!$I3="",'Detailed Timeline'!$J3=""),"",IF(AND(22&gt;='Detailed Timeline'!$I3,22&lt;='Detailed Timeline'!$J3),"■",""))</f>
        <v/>
      </c>
      <c r="Z3" s="23">
        <f>IF(OR('Detailed Timeline'!$I3="",'Detailed Timeline'!$J3=""),"",IF(AND(23&gt;='Detailed Timeline'!$I3,23&lt;='Detailed Timeline'!$J3),"■",""))</f>
        <v/>
      </c>
      <c r="AA3" s="23">
        <f>IF(OR('Detailed Timeline'!$I3="",'Detailed Timeline'!$J3=""),"",IF(AND(24&gt;='Detailed Timeline'!$I3,24&lt;='Detailed Timeline'!$J3),"■",""))</f>
        <v/>
      </c>
      <c r="AB3" s="23">
        <f>IF(OR('Detailed Timeline'!$I3="",'Detailed Timeline'!$J3=""),"",IF(AND(25&gt;='Detailed Timeline'!$I3,25&lt;='Detailed Timeline'!$J3),"■",""))</f>
        <v/>
      </c>
      <c r="AC3" s="23">
        <f>IF(OR('Detailed Timeline'!$I3="",'Detailed Timeline'!$J3=""),"",IF(AND(26&gt;='Detailed Timeline'!$I3,26&lt;='Detailed Timeline'!$J3),"■",""))</f>
        <v/>
      </c>
    </row>
    <row r="4" ht="16.4" customHeight="1" s="13">
      <c r="A4" s="12">
        <f>'Detailed Timeline'!A4</f>
        <v/>
      </c>
      <c r="B4" s="12">
        <f>'Detailed Timeline'!B4</f>
        <v/>
      </c>
      <c r="C4" s="12">
        <f>'Detailed Timeline'!C4</f>
        <v/>
      </c>
      <c r="D4" s="23">
        <f>IF(OR('Detailed Timeline'!$I4="",'Detailed Timeline'!$J4=""),"",IF(AND(1&gt;='Detailed Timeline'!$I4,1&lt;='Detailed Timeline'!$J4),"■",""))</f>
        <v/>
      </c>
      <c r="E4" s="23">
        <f>IF(OR('Detailed Timeline'!$I4="",'Detailed Timeline'!$J4=""),"",IF(AND(2&gt;='Detailed Timeline'!$I4,2&lt;='Detailed Timeline'!$J4),"■",""))</f>
        <v/>
      </c>
      <c r="F4" s="23">
        <f>IF(OR('Detailed Timeline'!$I4="",'Detailed Timeline'!$J4=""),"",IF(AND(3&gt;='Detailed Timeline'!$I4,3&lt;='Detailed Timeline'!$J4),"■",""))</f>
        <v/>
      </c>
      <c r="G4" s="23">
        <f>IF(OR('Detailed Timeline'!$I4="",'Detailed Timeline'!$J4=""),"",IF(AND(4&gt;='Detailed Timeline'!$I4,4&lt;='Detailed Timeline'!$J4),"■",""))</f>
        <v/>
      </c>
      <c r="H4" s="23">
        <f>IF(OR('Detailed Timeline'!$I4="",'Detailed Timeline'!$J4=""),"",IF(AND(5&gt;='Detailed Timeline'!$I4,5&lt;='Detailed Timeline'!$J4),"■",""))</f>
        <v/>
      </c>
      <c r="I4" s="23">
        <f>IF(OR('Detailed Timeline'!$I4="",'Detailed Timeline'!$J4=""),"",IF(AND(6&gt;='Detailed Timeline'!$I4,6&lt;='Detailed Timeline'!$J4),"■",""))</f>
        <v/>
      </c>
      <c r="J4" s="23">
        <f>IF(OR('Detailed Timeline'!$I4="",'Detailed Timeline'!$J4=""),"",IF(AND(7&gt;='Detailed Timeline'!$I4,7&lt;='Detailed Timeline'!$J4),"■",""))</f>
        <v/>
      </c>
      <c r="K4" s="23">
        <f>IF(OR('Detailed Timeline'!$I4="",'Detailed Timeline'!$J4=""),"",IF(AND(8&gt;='Detailed Timeline'!$I4,8&lt;='Detailed Timeline'!$J4),"■",""))</f>
        <v/>
      </c>
      <c r="L4" s="23">
        <f>IF(OR('Detailed Timeline'!$I4="",'Detailed Timeline'!$J4=""),"",IF(AND(9&gt;='Detailed Timeline'!$I4,9&lt;='Detailed Timeline'!$J4),"■",""))</f>
        <v/>
      </c>
      <c r="M4" s="23">
        <f>IF(OR('Detailed Timeline'!$I4="",'Detailed Timeline'!$J4=""),"",IF(AND(10&gt;='Detailed Timeline'!$I4,10&lt;='Detailed Timeline'!$J4),"■",""))</f>
        <v/>
      </c>
      <c r="N4" s="23">
        <f>IF(OR('Detailed Timeline'!$I4="",'Detailed Timeline'!$J4=""),"",IF(AND(11&gt;='Detailed Timeline'!$I4,11&lt;='Detailed Timeline'!$J4),"■",""))</f>
        <v/>
      </c>
      <c r="O4" s="23">
        <f>IF(OR('Detailed Timeline'!$I4="",'Detailed Timeline'!$J4=""),"",IF(AND(12&gt;='Detailed Timeline'!$I4,12&lt;='Detailed Timeline'!$J4),"■",""))</f>
        <v/>
      </c>
      <c r="P4" s="23">
        <f>IF(OR('Detailed Timeline'!$I4="",'Detailed Timeline'!$J4=""),"",IF(AND(13&gt;='Detailed Timeline'!$I4,13&lt;='Detailed Timeline'!$J4),"■",""))</f>
        <v/>
      </c>
      <c r="Q4" s="23">
        <f>IF(OR('Detailed Timeline'!$I4="",'Detailed Timeline'!$J4=""),"",IF(AND(14&gt;='Detailed Timeline'!$I4,14&lt;='Detailed Timeline'!$J4),"■",""))</f>
        <v/>
      </c>
      <c r="R4" s="23">
        <f>IF(OR('Detailed Timeline'!$I4="",'Detailed Timeline'!$J4=""),"",IF(AND(15&gt;='Detailed Timeline'!$I4,15&lt;='Detailed Timeline'!$J4),"■",""))</f>
        <v/>
      </c>
      <c r="S4" s="23">
        <f>IF(OR('Detailed Timeline'!$I4="",'Detailed Timeline'!$J4=""),"",IF(AND(16&gt;='Detailed Timeline'!$I4,16&lt;='Detailed Timeline'!$J4),"■",""))</f>
        <v/>
      </c>
      <c r="T4" s="23">
        <f>IF(OR('Detailed Timeline'!$I4="",'Detailed Timeline'!$J4=""),"",IF(AND(17&gt;='Detailed Timeline'!$I4,17&lt;='Detailed Timeline'!$J4),"■",""))</f>
        <v/>
      </c>
      <c r="U4" s="23">
        <f>IF(OR('Detailed Timeline'!$I4="",'Detailed Timeline'!$J4=""),"",IF(AND(18&gt;='Detailed Timeline'!$I4,18&lt;='Detailed Timeline'!$J4),"■",""))</f>
        <v/>
      </c>
      <c r="V4" s="23">
        <f>IF(OR('Detailed Timeline'!$I4="",'Detailed Timeline'!$J4=""),"",IF(AND(19&gt;='Detailed Timeline'!$I4,19&lt;='Detailed Timeline'!$J4),"■",""))</f>
        <v/>
      </c>
      <c r="W4" s="23">
        <f>IF(OR('Detailed Timeline'!$I4="",'Detailed Timeline'!$J4=""),"",IF(AND(20&gt;='Detailed Timeline'!$I4,20&lt;='Detailed Timeline'!$J4),"■",""))</f>
        <v/>
      </c>
      <c r="X4" s="23">
        <f>IF(OR('Detailed Timeline'!$I4="",'Detailed Timeline'!$J4=""),"",IF(AND(21&gt;='Detailed Timeline'!$I4,21&lt;='Detailed Timeline'!$J4),"■",""))</f>
        <v/>
      </c>
      <c r="Y4" s="23">
        <f>IF(OR('Detailed Timeline'!$I4="",'Detailed Timeline'!$J4=""),"",IF(AND(22&gt;='Detailed Timeline'!$I4,22&lt;='Detailed Timeline'!$J4),"■",""))</f>
        <v/>
      </c>
      <c r="Z4" s="23">
        <f>IF(OR('Detailed Timeline'!$I4="",'Detailed Timeline'!$J4=""),"",IF(AND(23&gt;='Detailed Timeline'!$I4,23&lt;='Detailed Timeline'!$J4),"■",""))</f>
        <v/>
      </c>
      <c r="AA4" s="23">
        <f>IF(OR('Detailed Timeline'!$I4="",'Detailed Timeline'!$J4=""),"",IF(AND(24&gt;='Detailed Timeline'!$I4,24&lt;='Detailed Timeline'!$J4),"■",""))</f>
        <v/>
      </c>
      <c r="AB4" s="23">
        <f>IF(OR('Detailed Timeline'!$I4="",'Detailed Timeline'!$J4=""),"",IF(AND(25&gt;='Detailed Timeline'!$I4,25&lt;='Detailed Timeline'!$J4),"■",""))</f>
        <v/>
      </c>
      <c r="AC4" s="23">
        <f>IF(OR('Detailed Timeline'!$I4="",'Detailed Timeline'!$J4=""),"",IF(AND(26&gt;='Detailed Timeline'!$I4,26&lt;='Detailed Timeline'!$J4),"■",""))</f>
        <v/>
      </c>
    </row>
    <row r="5" ht="16.4" customHeight="1" s="13">
      <c r="A5" s="12">
        <f>'Detailed Timeline'!A5</f>
        <v/>
      </c>
      <c r="B5" s="12">
        <f>'Detailed Timeline'!B5</f>
        <v/>
      </c>
      <c r="C5" s="12">
        <f>'Detailed Timeline'!C5</f>
        <v/>
      </c>
      <c r="D5" s="23">
        <f>IF(OR('Detailed Timeline'!$I5="",'Detailed Timeline'!$J5=""),"",IF(AND(1&gt;='Detailed Timeline'!$I5,1&lt;='Detailed Timeline'!$J5),"■",""))</f>
        <v/>
      </c>
      <c r="E5" s="23">
        <f>IF(OR('Detailed Timeline'!$I5="",'Detailed Timeline'!$J5=""),"",IF(AND(2&gt;='Detailed Timeline'!$I5,2&lt;='Detailed Timeline'!$J5),"■",""))</f>
        <v/>
      </c>
      <c r="F5" s="23">
        <f>IF(OR('Detailed Timeline'!$I5="",'Detailed Timeline'!$J5=""),"",IF(AND(3&gt;='Detailed Timeline'!$I5,3&lt;='Detailed Timeline'!$J5),"■",""))</f>
        <v/>
      </c>
      <c r="G5" s="23">
        <f>IF(OR('Detailed Timeline'!$I5="",'Detailed Timeline'!$J5=""),"",IF(AND(4&gt;='Detailed Timeline'!$I5,4&lt;='Detailed Timeline'!$J5),"■",""))</f>
        <v/>
      </c>
      <c r="H5" s="23">
        <f>IF(OR('Detailed Timeline'!$I5="",'Detailed Timeline'!$J5=""),"",IF(AND(5&gt;='Detailed Timeline'!$I5,5&lt;='Detailed Timeline'!$J5),"■",""))</f>
        <v/>
      </c>
      <c r="I5" s="23">
        <f>IF(OR('Detailed Timeline'!$I5="",'Detailed Timeline'!$J5=""),"",IF(AND(6&gt;='Detailed Timeline'!$I5,6&lt;='Detailed Timeline'!$J5),"■",""))</f>
        <v/>
      </c>
      <c r="J5" s="23">
        <f>IF(OR('Detailed Timeline'!$I5="",'Detailed Timeline'!$J5=""),"",IF(AND(7&gt;='Detailed Timeline'!$I5,7&lt;='Detailed Timeline'!$J5),"■",""))</f>
        <v/>
      </c>
      <c r="K5" s="23">
        <f>IF(OR('Detailed Timeline'!$I5="",'Detailed Timeline'!$J5=""),"",IF(AND(8&gt;='Detailed Timeline'!$I5,8&lt;='Detailed Timeline'!$J5),"■",""))</f>
        <v/>
      </c>
      <c r="L5" s="23">
        <f>IF(OR('Detailed Timeline'!$I5="",'Detailed Timeline'!$J5=""),"",IF(AND(9&gt;='Detailed Timeline'!$I5,9&lt;='Detailed Timeline'!$J5),"■",""))</f>
        <v/>
      </c>
      <c r="M5" s="23">
        <f>IF(OR('Detailed Timeline'!$I5="",'Detailed Timeline'!$J5=""),"",IF(AND(10&gt;='Detailed Timeline'!$I5,10&lt;='Detailed Timeline'!$J5),"■",""))</f>
        <v/>
      </c>
      <c r="N5" s="23">
        <f>IF(OR('Detailed Timeline'!$I5="",'Detailed Timeline'!$J5=""),"",IF(AND(11&gt;='Detailed Timeline'!$I5,11&lt;='Detailed Timeline'!$J5),"■",""))</f>
        <v/>
      </c>
      <c r="O5" s="23">
        <f>IF(OR('Detailed Timeline'!$I5="",'Detailed Timeline'!$J5=""),"",IF(AND(12&gt;='Detailed Timeline'!$I5,12&lt;='Detailed Timeline'!$J5),"■",""))</f>
        <v/>
      </c>
      <c r="P5" s="23">
        <f>IF(OR('Detailed Timeline'!$I5="",'Detailed Timeline'!$J5=""),"",IF(AND(13&gt;='Detailed Timeline'!$I5,13&lt;='Detailed Timeline'!$J5),"■",""))</f>
        <v/>
      </c>
      <c r="Q5" s="23">
        <f>IF(OR('Detailed Timeline'!$I5="",'Detailed Timeline'!$J5=""),"",IF(AND(14&gt;='Detailed Timeline'!$I5,14&lt;='Detailed Timeline'!$J5),"■",""))</f>
        <v/>
      </c>
      <c r="R5" s="23">
        <f>IF(OR('Detailed Timeline'!$I5="",'Detailed Timeline'!$J5=""),"",IF(AND(15&gt;='Detailed Timeline'!$I5,15&lt;='Detailed Timeline'!$J5),"■",""))</f>
        <v/>
      </c>
      <c r="S5" s="23">
        <f>IF(OR('Detailed Timeline'!$I5="",'Detailed Timeline'!$J5=""),"",IF(AND(16&gt;='Detailed Timeline'!$I5,16&lt;='Detailed Timeline'!$J5),"■",""))</f>
        <v/>
      </c>
      <c r="T5" s="23">
        <f>IF(OR('Detailed Timeline'!$I5="",'Detailed Timeline'!$J5=""),"",IF(AND(17&gt;='Detailed Timeline'!$I5,17&lt;='Detailed Timeline'!$J5),"■",""))</f>
        <v/>
      </c>
      <c r="U5" s="23">
        <f>IF(OR('Detailed Timeline'!$I5="",'Detailed Timeline'!$J5=""),"",IF(AND(18&gt;='Detailed Timeline'!$I5,18&lt;='Detailed Timeline'!$J5),"■",""))</f>
        <v/>
      </c>
      <c r="V5" s="23">
        <f>IF(OR('Detailed Timeline'!$I5="",'Detailed Timeline'!$J5=""),"",IF(AND(19&gt;='Detailed Timeline'!$I5,19&lt;='Detailed Timeline'!$J5),"■",""))</f>
        <v/>
      </c>
      <c r="W5" s="23">
        <f>IF(OR('Detailed Timeline'!$I5="",'Detailed Timeline'!$J5=""),"",IF(AND(20&gt;='Detailed Timeline'!$I5,20&lt;='Detailed Timeline'!$J5),"■",""))</f>
        <v/>
      </c>
      <c r="X5" s="23">
        <f>IF(OR('Detailed Timeline'!$I5="",'Detailed Timeline'!$J5=""),"",IF(AND(21&gt;='Detailed Timeline'!$I5,21&lt;='Detailed Timeline'!$J5),"■",""))</f>
        <v/>
      </c>
      <c r="Y5" s="23">
        <f>IF(OR('Detailed Timeline'!$I5="",'Detailed Timeline'!$J5=""),"",IF(AND(22&gt;='Detailed Timeline'!$I5,22&lt;='Detailed Timeline'!$J5),"■",""))</f>
        <v/>
      </c>
      <c r="Z5" s="23">
        <f>IF(OR('Detailed Timeline'!$I5="",'Detailed Timeline'!$J5=""),"",IF(AND(23&gt;='Detailed Timeline'!$I5,23&lt;='Detailed Timeline'!$J5),"■",""))</f>
        <v/>
      </c>
      <c r="AA5" s="23">
        <f>IF(OR('Detailed Timeline'!$I5="",'Detailed Timeline'!$J5=""),"",IF(AND(24&gt;='Detailed Timeline'!$I5,24&lt;='Detailed Timeline'!$J5),"■",""))</f>
        <v/>
      </c>
      <c r="AB5" s="23">
        <f>IF(OR('Detailed Timeline'!$I5="",'Detailed Timeline'!$J5=""),"",IF(AND(25&gt;='Detailed Timeline'!$I5,25&lt;='Detailed Timeline'!$J5),"■",""))</f>
        <v/>
      </c>
      <c r="AC5" s="23">
        <f>IF(OR('Detailed Timeline'!$I5="",'Detailed Timeline'!$J5=""),"",IF(AND(26&gt;='Detailed Timeline'!$I5,26&lt;='Detailed Timeline'!$J5),"■",""))</f>
        <v/>
      </c>
    </row>
    <row r="6" ht="16.4" customHeight="1" s="13">
      <c r="A6" s="12">
        <f>'Detailed Timeline'!A7</f>
        <v/>
      </c>
      <c r="B6" s="12">
        <f>'Detailed Timeline'!B7</f>
        <v/>
      </c>
      <c r="C6" s="12">
        <f>'Detailed Timeline'!C7</f>
        <v/>
      </c>
      <c r="D6" s="23">
        <f>IF(OR('Detailed Timeline'!$I7="",'Detailed Timeline'!$J7=""),"",IF(AND(1&gt;='Detailed Timeline'!$I7,1&lt;='Detailed Timeline'!$J7),"■",""))</f>
        <v/>
      </c>
      <c r="E6" s="23">
        <f>IF(OR('Detailed Timeline'!$I7="",'Detailed Timeline'!$J7=""),"",IF(AND(2&gt;='Detailed Timeline'!$I7,2&lt;='Detailed Timeline'!$J7),"■",""))</f>
        <v/>
      </c>
      <c r="F6" s="23">
        <f>IF(OR('Detailed Timeline'!$I7="",'Detailed Timeline'!$J7=""),"",IF(AND(3&gt;='Detailed Timeline'!$I7,3&lt;='Detailed Timeline'!$J7),"■",""))</f>
        <v/>
      </c>
      <c r="G6" s="23">
        <f>IF(OR('Detailed Timeline'!$I7="",'Detailed Timeline'!$J7=""),"",IF(AND(4&gt;='Detailed Timeline'!$I7,4&lt;='Detailed Timeline'!$J7),"■",""))</f>
        <v/>
      </c>
      <c r="H6" s="23">
        <f>IF(OR('Detailed Timeline'!$I7="",'Detailed Timeline'!$J7=""),"",IF(AND(5&gt;='Detailed Timeline'!$I7,5&lt;='Detailed Timeline'!$J7),"■",""))</f>
        <v/>
      </c>
      <c r="I6" s="23">
        <f>IF(OR('Detailed Timeline'!$I7="",'Detailed Timeline'!$J7=""),"",IF(AND(6&gt;='Detailed Timeline'!$I7,6&lt;='Detailed Timeline'!$J7),"■",""))</f>
        <v/>
      </c>
      <c r="J6" s="23">
        <f>IF(OR('Detailed Timeline'!$I7="",'Detailed Timeline'!$J7=""),"",IF(AND(7&gt;='Detailed Timeline'!$I7,7&lt;='Detailed Timeline'!$J7),"■",""))</f>
        <v/>
      </c>
      <c r="K6" s="23">
        <f>IF(OR('Detailed Timeline'!$I7="",'Detailed Timeline'!$J7=""),"",IF(AND(8&gt;='Detailed Timeline'!$I7,8&lt;='Detailed Timeline'!$J7),"■",""))</f>
        <v/>
      </c>
      <c r="L6" s="23">
        <f>IF(OR('Detailed Timeline'!$I7="",'Detailed Timeline'!$J7=""),"",IF(AND(9&gt;='Detailed Timeline'!$I7,9&lt;='Detailed Timeline'!$J7),"■",""))</f>
        <v/>
      </c>
      <c r="M6" s="23">
        <f>IF(OR('Detailed Timeline'!$I7="",'Detailed Timeline'!$J7=""),"",IF(AND(10&gt;='Detailed Timeline'!$I7,10&lt;='Detailed Timeline'!$J7),"■",""))</f>
        <v/>
      </c>
      <c r="N6" s="23">
        <f>IF(OR('Detailed Timeline'!$I7="",'Detailed Timeline'!$J7=""),"",IF(AND(11&gt;='Detailed Timeline'!$I7,11&lt;='Detailed Timeline'!$J7),"■",""))</f>
        <v/>
      </c>
      <c r="O6" s="23">
        <f>IF(OR('Detailed Timeline'!$I7="",'Detailed Timeline'!$J7=""),"",IF(AND(12&gt;='Detailed Timeline'!$I7,12&lt;='Detailed Timeline'!$J7),"■",""))</f>
        <v/>
      </c>
      <c r="P6" s="23">
        <f>IF(OR('Detailed Timeline'!$I7="",'Detailed Timeline'!$J7=""),"",IF(AND(13&gt;='Detailed Timeline'!$I7,13&lt;='Detailed Timeline'!$J7),"■",""))</f>
        <v/>
      </c>
      <c r="Q6" s="23">
        <f>IF(OR('Detailed Timeline'!$I7="",'Detailed Timeline'!$J7=""),"",IF(AND(14&gt;='Detailed Timeline'!$I7,14&lt;='Detailed Timeline'!$J7),"■",""))</f>
        <v/>
      </c>
      <c r="R6" s="23">
        <f>IF(OR('Detailed Timeline'!$I7="",'Detailed Timeline'!$J7=""),"",IF(AND(15&gt;='Detailed Timeline'!$I7,15&lt;='Detailed Timeline'!$J7),"■",""))</f>
        <v/>
      </c>
      <c r="S6" s="23">
        <f>IF(OR('Detailed Timeline'!$I7="",'Detailed Timeline'!$J7=""),"",IF(AND(16&gt;='Detailed Timeline'!$I7,16&lt;='Detailed Timeline'!$J7),"■",""))</f>
        <v/>
      </c>
      <c r="T6" s="23">
        <f>IF(OR('Detailed Timeline'!$I7="",'Detailed Timeline'!$J7=""),"",IF(AND(17&gt;='Detailed Timeline'!$I7,17&lt;='Detailed Timeline'!$J7),"■",""))</f>
        <v/>
      </c>
      <c r="U6" s="23">
        <f>IF(OR('Detailed Timeline'!$I7="",'Detailed Timeline'!$J7=""),"",IF(AND(18&gt;='Detailed Timeline'!$I7,18&lt;='Detailed Timeline'!$J7),"■",""))</f>
        <v/>
      </c>
      <c r="V6" s="23">
        <f>IF(OR('Detailed Timeline'!$I7="",'Detailed Timeline'!$J7=""),"",IF(AND(19&gt;='Detailed Timeline'!$I7,19&lt;='Detailed Timeline'!$J7),"■",""))</f>
        <v/>
      </c>
      <c r="W6" s="23">
        <f>IF(OR('Detailed Timeline'!$I7="",'Detailed Timeline'!$J7=""),"",IF(AND(20&gt;='Detailed Timeline'!$I7,20&lt;='Detailed Timeline'!$J7),"■",""))</f>
        <v/>
      </c>
      <c r="X6" s="23">
        <f>IF(OR('Detailed Timeline'!$I7="",'Detailed Timeline'!$J7=""),"",IF(AND(21&gt;='Detailed Timeline'!$I7,21&lt;='Detailed Timeline'!$J7),"■",""))</f>
        <v/>
      </c>
      <c r="Y6" s="23">
        <f>IF(OR('Detailed Timeline'!$I7="",'Detailed Timeline'!$J7=""),"",IF(AND(22&gt;='Detailed Timeline'!$I7,22&lt;='Detailed Timeline'!$J7),"■",""))</f>
        <v/>
      </c>
      <c r="Z6" s="23">
        <f>IF(OR('Detailed Timeline'!$I7="",'Detailed Timeline'!$J7=""),"",IF(AND(23&gt;='Detailed Timeline'!$I7,23&lt;='Detailed Timeline'!$J7),"■",""))</f>
        <v/>
      </c>
      <c r="AA6" s="23">
        <f>IF(OR('Detailed Timeline'!$I7="",'Detailed Timeline'!$J7=""),"",IF(AND(24&gt;='Detailed Timeline'!$I7,24&lt;='Detailed Timeline'!$J7),"■",""))</f>
        <v/>
      </c>
      <c r="AB6" s="23">
        <f>IF(OR('Detailed Timeline'!$I7="",'Detailed Timeline'!$J7=""),"",IF(AND(25&gt;='Detailed Timeline'!$I7,25&lt;='Detailed Timeline'!$J7),"■",""))</f>
        <v/>
      </c>
      <c r="AC6" s="23">
        <f>IF(OR('Detailed Timeline'!$I7="",'Detailed Timeline'!$J7=""),"",IF(AND(26&gt;='Detailed Timeline'!$I7,26&lt;='Detailed Timeline'!$J7),"■",""))</f>
        <v/>
      </c>
    </row>
    <row r="7" ht="16.4" customHeight="1" s="13">
      <c r="A7" s="12">
        <f>'Detailed Timeline'!A8</f>
        <v/>
      </c>
      <c r="B7" s="12">
        <f>'Detailed Timeline'!B8</f>
        <v/>
      </c>
      <c r="C7" s="12">
        <f>'Detailed Timeline'!C8</f>
        <v/>
      </c>
      <c r="D7" s="23">
        <f>IF(OR('Detailed Timeline'!$I8="",'Detailed Timeline'!$J8=""),"",IF(AND(1&gt;='Detailed Timeline'!$I8,1&lt;='Detailed Timeline'!$J8),"■",""))</f>
        <v/>
      </c>
      <c r="E7" s="23">
        <f>IF(OR('Detailed Timeline'!$I8="",'Detailed Timeline'!$J8=""),"",IF(AND(2&gt;='Detailed Timeline'!$I8,2&lt;='Detailed Timeline'!$J8),"■",""))</f>
        <v/>
      </c>
      <c r="F7" s="23">
        <f>IF(OR('Detailed Timeline'!$I8="",'Detailed Timeline'!$J8=""),"",IF(AND(3&gt;='Detailed Timeline'!$I8,3&lt;='Detailed Timeline'!$J8),"■",""))</f>
        <v/>
      </c>
      <c r="G7" s="23">
        <f>IF(OR('Detailed Timeline'!$I8="",'Detailed Timeline'!$J8=""),"",IF(AND(4&gt;='Detailed Timeline'!$I8,4&lt;='Detailed Timeline'!$J8),"■",""))</f>
        <v/>
      </c>
      <c r="H7" s="23">
        <f>IF(OR('Detailed Timeline'!$I8="",'Detailed Timeline'!$J8=""),"",IF(AND(5&gt;='Detailed Timeline'!$I8,5&lt;='Detailed Timeline'!$J8),"■",""))</f>
        <v/>
      </c>
      <c r="I7" s="23">
        <f>IF(OR('Detailed Timeline'!$I8="",'Detailed Timeline'!$J8=""),"",IF(AND(6&gt;='Detailed Timeline'!$I8,6&lt;='Detailed Timeline'!$J8),"■",""))</f>
        <v/>
      </c>
      <c r="J7" s="23">
        <f>IF(OR('Detailed Timeline'!$I8="",'Detailed Timeline'!$J8=""),"",IF(AND(7&gt;='Detailed Timeline'!$I8,7&lt;='Detailed Timeline'!$J8),"■",""))</f>
        <v/>
      </c>
      <c r="K7" s="23">
        <f>IF(OR('Detailed Timeline'!$I8="",'Detailed Timeline'!$J8=""),"",IF(AND(8&gt;='Detailed Timeline'!$I8,8&lt;='Detailed Timeline'!$J8),"■",""))</f>
        <v/>
      </c>
      <c r="L7" s="23">
        <f>IF(OR('Detailed Timeline'!$I8="",'Detailed Timeline'!$J8=""),"",IF(AND(9&gt;='Detailed Timeline'!$I8,9&lt;='Detailed Timeline'!$J8),"■",""))</f>
        <v/>
      </c>
      <c r="M7" s="23">
        <f>IF(OR('Detailed Timeline'!$I8="",'Detailed Timeline'!$J8=""),"",IF(AND(10&gt;='Detailed Timeline'!$I8,10&lt;='Detailed Timeline'!$J8),"■",""))</f>
        <v/>
      </c>
      <c r="N7" s="23">
        <f>IF(OR('Detailed Timeline'!$I8="",'Detailed Timeline'!$J8=""),"",IF(AND(11&gt;='Detailed Timeline'!$I8,11&lt;='Detailed Timeline'!$J8),"■",""))</f>
        <v/>
      </c>
      <c r="O7" s="23">
        <f>IF(OR('Detailed Timeline'!$I8="",'Detailed Timeline'!$J8=""),"",IF(AND(12&gt;='Detailed Timeline'!$I8,12&lt;='Detailed Timeline'!$J8),"■",""))</f>
        <v/>
      </c>
      <c r="P7" s="23">
        <f>IF(OR('Detailed Timeline'!$I8="",'Detailed Timeline'!$J8=""),"",IF(AND(13&gt;='Detailed Timeline'!$I8,13&lt;='Detailed Timeline'!$J8),"■",""))</f>
        <v/>
      </c>
      <c r="Q7" s="23">
        <f>IF(OR('Detailed Timeline'!$I8="",'Detailed Timeline'!$J8=""),"",IF(AND(14&gt;='Detailed Timeline'!$I8,14&lt;='Detailed Timeline'!$J8),"■",""))</f>
        <v/>
      </c>
      <c r="R7" s="23">
        <f>IF(OR('Detailed Timeline'!$I8="",'Detailed Timeline'!$J8=""),"",IF(AND(15&gt;='Detailed Timeline'!$I8,15&lt;='Detailed Timeline'!$J8),"■",""))</f>
        <v/>
      </c>
      <c r="S7" s="23">
        <f>IF(OR('Detailed Timeline'!$I8="",'Detailed Timeline'!$J8=""),"",IF(AND(16&gt;='Detailed Timeline'!$I8,16&lt;='Detailed Timeline'!$J8),"■",""))</f>
        <v/>
      </c>
      <c r="T7" s="23">
        <f>IF(OR('Detailed Timeline'!$I8="",'Detailed Timeline'!$J8=""),"",IF(AND(17&gt;='Detailed Timeline'!$I8,17&lt;='Detailed Timeline'!$J8),"■",""))</f>
        <v/>
      </c>
      <c r="U7" s="23">
        <f>IF(OR('Detailed Timeline'!$I8="",'Detailed Timeline'!$J8=""),"",IF(AND(18&gt;='Detailed Timeline'!$I8,18&lt;='Detailed Timeline'!$J8),"■",""))</f>
        <v/>
      </c>
      <c r="V7" s="23">
        <f>IF(OR('Detailed Timeline'!$I8="",'Detailed Timeline'!$J8=""),"",IF(AND(19&gt;='Detailed Timeline'!$I8,19&lt;='Detailed Timeline'!$J8),"■",""))</f>
        <v/>
      </c>
      <c r="W7" s="23">
        <f>IF(OR('Detailed Timeline'!$I8="",'Detailed Timeline'!$J8=""),"",IF(AND(20&gt;='Detailed Timeline'!$I8,20&lt;='Detailed Timeline'!$J8),"■",""))</f>
        <v/>
      </c>
      <c r="X7" s="23">
        <f>IF(OR('Detailed Timeline'!$I8="",'Detailed Timeline'!$J8=""),"",IF(AND(21&gt;='Detailed Timeline'!$I8,21&lt;='Detailed Timeline'!$J8),"■",""))</f>
        <v/>
      </c>
      <c r="Y7" s="23">
        <f>IF(OR('Detailed Timeline'!$I8="",'Detailed Timeline'!$J8=""),"",IF(AND(22&gt;='Detailed Timeline'!$I8,22&lt;='Detailed Timeline'!$J8),"■",""))</f>
        <v/>
      </c>
      <c r="Z7" s="23">
        <f>IF(OR('Detailed Timeline'!$I8="",'Detailed Timeline'!$J8=""),"",IF(AND(23&gt;='Detailed Timeline'!$I8,23&lt;='Detailed Timeline'!$J8),"■",""))</f>
        <v/>
      </c>
      <c r="AA7" s="23">
        <f>IF(OR('Detailed Timeline'!$I8="",'Detailed Timeline'!$J8=""),"",IF(AND(24&gt;='Detailed Timeline'!$I8,24&lt;='Detailed Timeline'!$J8),"■",""))</f>
        <v/>
      </c>
      <c r="AB7" s="23">
        <f>IF(OR('Detailed Timeline'!$I8="",'Detailed Timeline'!$J8=""),"",IF(AND(25&gt;='Detailed Timeline'!$I8,25&lt;='Detailed Timeline'!$J8),"■",""))</f>
        <v/>
      </c>
      <c r="AC7" s="23">
        <f>IF(OR('Detailed Timeline'!$I8="",'Detailed Timeline'!$J8=""),"",IF(AND(26&gt;='Detailed Timeline'!$I8,26&lt;='Detailed Timeline'!$J8),"■",""))</f>
        <v/>
      </c>
    </row>
    <row r="8" ht="16.4" customHeight="1" s="13">
      <c r="A8" s="12">
        <f>'Detailed Timeline'!A11</f>
        <v/>
      </c>
      <c r="B8" s="12">
        <f>'Detailed Timeline'!B11</f>
        <v/>
      </c>
      <c r="C8" s="12">
        <f>'Detailed Timeline'!C11</f>
        <v/>
      </c>
      <c r="D8" s="23">
        <f>IF(OR('Detailed Timeline'!$I11="",'Detailed Timeline'!$J11=""),"",IF(AND(1&gt;='Detailed Timeline'!$I11,1&lt;='Detailed Timeline'!$J11),"■",""))</f>
        <v/>
      </c>
      <c r="E8" s="23">
        <f>IF(OR('Detailed Timeline'!$I11="",'Detailed Timeline'!$J11=""),"",IF(AND(2&gt;='Detailed Timeline'!$I11,2&lt;='Detailed Timeline'!$J11),"■",""))</f>
        <v/>
      </c>
      <c r="F8" s="23">
        <f>IF(OR('Detailed Timeline'!$I11="",'Detailed Timeline'!$J11=""),"",IF(AND(3&gt;='Detailed Timeline'!$I11,3&lt;='Detailed Timeline'!$J11),"■",""))</f>
        <v/>
      </c>
      <c r="G8" s="23">
        <f>IF(OR('Detailed Timeline'!$I11="",'Detailed Timeline'!$J11=""),"",IF(AND(4&gt;='Detailed Timeline'!$I11,4&lt;='Detailed Timeline'!$J11),"■",""))</f>
        <v/>
      </c>
      <c r="H8" s="23">
        <f>IF(OR('Detailed Timeline'!$I11="",'Detailed Timeline'!$J11=""),"",IF(AND(5&gt;='Detailed Timeline'!$I11,5&lt;='Detailed Timeline'!$J11),"■",""))</f>
        <v/>
      </c>
      <c r="I8" s="23">
        <f>IF(OR('Detailed Timeline'!$I11="",'Detailed Timeline'!$J11=""),"",IF(AND(6&gt;='Detailed Timeline'!$I11,6&lt;='Detailed Timeline'!$J11),"■",""))</f>
        <v/>
      </c>
      <c r="J8" s="23">
        <f>IF(OR('Detailed Timeline'!$I11="",'Detailed Timeline'!$J11=""),"",IF(AND(7&gt;='Detailed Timeline'!$I11,7&lt;='Detailed Timeline'!$J11),"■",""))</f>
        <v/>
      </c>
      <c r="K8" s="23">
        <f>IF(OR('Detailed Timeline'!$I11="",'Detailed Timeline'!$J11=""),"",IF(AND(8&gt;='Detailed Timeline'!$I11,8&lt;='Detailed Timeline'!$J11),"■",""))</f>
        <v/>
      </c>
      <c r="L8" s="23">
        <f>IF(OR('Detailed Timeline'!$I11="",'Detailed Timeline'!$J11=""),"",IF(AND(9&gt;='Detailed Timeline'!$I11,9&lt;='Detailed Timeline'!$J11),"■",""))</f>
        <v/>
      </c>
      <c r="M8" s="23">
        <f>IF(OR('Detailed Timeline'!$I11="",'Detailed Timeline'!$J11=""),"",IF(AND(10&gt;='Detailed Timeline'!$I11,10&lt;='Detailed Timeline'!$J11),"■",""))</f>
        <v/>
      </c>
      <c r="N8" s="23">
        <f>IF(OR('Detailed Timeline'!$I11="",'Detailed Timeline'!$J11=""),"",IF(AND(11&gt;='Detailed Timeline'!$I11,11&lt;='Detailed Timeline'!$J11),"■",""))</f>
        <v/>
      </c>
      <c r="O8" s="23">
        <f>IF(OR('Detailed Timeline'!$I11="",'Detailed Timeline'!$J11=""),"",IF(AND(12&gt;='Detailed Timeline'!$I11,12&lt;='Detailed Timeline'!$J11),"■",""))</f>
        <v/>
      </c>
      <c r="P8" s="23">
        <f>IF(OR('Detailed Timeline'!$I11="",'Detailed Timeline'!$J11=""),"",IF(AND(13&gt;='Detailed Timeline'!$I11,13&lt;='Detailed Timeline'!$J11),"■",""))</f>
        <v/>
      </c>
      <c r="Q8" s="23">
        <f>IF(OR('Detailed Timeline'!$I11="",'Detailed Timeline'!$J11=""),"",IF(AND(14&gt;='Detailed Timeline'!$I11,14&lt;='Detailed Timeline'!$J11),"■",""))</f>
        <v/>
      </c>
      <c r="R8" s="23">
        <f>IF(OR('Detailed Timeline'!$I11="",'Detailed Timeline'!$J11=""),"",IF(AND(15&gt;='Detailed Timeline'!$I11,15&lt;='Detailed Timeline'!$J11),"■",""))</f>
        <v/>
      </c>
      <c r="S8" s="23">
        <f>IF(OR('Detailed Timeline'!$I11="",'Detailed Timeline'!$J11=""),"",IF(AND(16&gt;='Detailed Timeline'!$I11,16&lt;='Detailed Timeline'!$J11),"■",""))</f>
        <v/>
      </c>
      <c r="T8" s="23">
        <f>IF(OR('Detailed Timeline'!$I11="",'Detailed Timeline'!$J11=""),"",IF(AND(17&gt;='Detailed Timeline'!$I11,17&lt;='Detailed Timeline'!$J11),"■",""))</f>
        <v/>
      </c>
      <c r="U8" s="23">
        <f>IF(OR('Detailed Timeline'!$I11="",'Detailed Timeline'!$J11=""),"",IF(AND(18&gt;='Detailed Timeline'!$I11,18&lt;='Detailed Timeline'!$J11),"■",""))</f>
        <v/>
      </c>
      <c r="V8" s="23">
        <f>IF(OR('Detailed Timeline'!$I11="",'Detailed Timeline'!$J11=""),"",IF(AND(19&gt;='Detailed Timeline'!$I11,19&lt;='Detailed Timeline'!$J11),"■",""))</f>
        <v/>
      </c>
      <c r="W8" s="23">
        <f>IF(OR('Detailed Timeline'!$I11="",'Detailed Timeline'!$J11=""),"",IF(AND(20&gt;='Detailed Timeline'!$I11,20&lt;='Detailed Timeline'!$J11),"■",""))</f>
        <v/>
      </c>
      <c r="X8" s="23">
        <f>IF(OR('Detailed Timeline'!$I11="",'Detailed Timeline'!$J11=""),"",IF(AND(21&gt;='Detailed Timeline'!$I11,21&lt;='Detailed Timeline'!$J11),"■",""))</f>
        <v/>
      </c>
      <c r="Y8" s="23">
        <f>IF(OR('Detailed Timeline'!$I11="",'Detailed Timeline'!$J11=""),"",IF(AND(22&gt;='Detailed Timeline'!$I11,22&lt;='Detailed Timeline'!$J11),"■",""))</f>
        <v/>
      </c>
      <c r="Z8" s="23">
        <f>IF(OR('Detailed Timeline'!$I11="",'Detailed Timeline'!$J11=""),"",IF(AND(23&gt;='Detailed Timeline'!$I11,23&lt;='Detailed Timeline'!$J11),"■",""))</f>
        <v/>
      </c>
      <c r="AA8" s="23">
        <f>IF(OR('Detailed Timeline'!$I11="",'Detailed Timeline'!$J11=""),"",IF(AND(24&gt;='Detailed Timeline'!$I11,24&lt;='Detailed Timeline'!$J11),"■",""))</f>
        <v/>
      </c>
      <c r="AB8" s="23">
        <f>IF(OR('Detailed Timeline'!$I11="",'Detailed Timeline'!$J11=""),"",IF(AND(25&gt;='Detailed Timeline'!$I11,25&lt;='Detailed Timeline'!$J11),"■",""))</f>
        <v/>
      </c>
      <c r="AC8" s="23">
        <f>IF(OR('Detailed Timeline'!$I11="",'Detailed Timeline'!$J11=""),"",IF(AND(26&gt;='Detailed Timeline'!$I11,26&lt;='Detailed Timeline'!$J11),"■",""))</f>
        <v/>
      </c>
    </row>
    <row r="9" ht="16.4" customHeight="1" s="13">
      <c r="A9" s="12">
        <f>'Detailed Timeline'!A12</f>
        <v/>
      </c>
      <c r="B9" s="12">
        <f>'Detailed Timeline'!B12</f>
        <v/>
      </c>
      <c r="C9" s="12">
        <f>'Detailed Timeline'!C12</f>
        <v/>
      </c>
      <c r="D9" s="23">
        <f>IF(OR('Detailed Timeline'!$I12="",'Detailed Timeline'!$J12=""),"",IF(AND(1&gt;='Detailed Timeline'!$I12,1&lt;='Detailed Timeline'!$J12),"■",""))</f>
        <v/>
      </c>
      <c r="E9" s="23">
        <f>IF(OR('Detailed Timeline'!$I12="",'Detailed Timeline'!$J12=""),"",IF(AND(2&gt;='Detailed Timeline'!$I12,2&lt;='Detailed Timeline'!$J12),"■",""))</f>
        <v/>
      </c>
      <c r="F9" s="23">
        <f>IF(OR('Detailed Timeline'!$I12="",'Detailed Timeline'!$J12=""),"",IF(AND(3&gt;='Detailed Timeline'!$I12,3&lt;='Detailed Timeline'!$J12),"■",""))</f>
        <v/>
      </c>
      <c r="G9" s="23">
        <f>IF(OR('Detailed Timeline'!$I12="",'Detailed Timeline'!$J12=""),"",IF(AND(4&gt;='Detailed Timeline'!$I12,4&lt;='Detailed Timeline'!$J12),"■",""))</f>
        <v/>
      </c>
      <c r="H9" s="23">
        <f>IF(OR('Detailed Timeline'!$I12="",'Detailed Timeline'!$J12=""),"",IF(AND(5&gt;='Detailed Timeline'!$I12,5&lt;='Detailed Timeline'!$J12),"■",""))</f>
        <v/>
      </c>
      <c r="I9" s="23">
        <f>IF(OR('Detailed Timeline'!$I12="",'Detailed Timeline'!$J12=""),"",IF(AND(6&gt;='Detailed Timeline'!$I12,6&lt;='Detailed Timeline'!$J12),"■",""))</f>
        <v/>
      </c>
      <c r="J9" s="23">
        <f>IF(OR('Detailed Timeline'!$I12="",'Detailed Timeline'!$J12=""),"",IF(AND(7&gt;='Detailed Timeline'!$I12,7&lt;='Detailed Timeline'!$J12),"■",""))</f>
        <v/>
      </c>
      <c r="K9" s="23">
        <f>IF(OR('Detailed Timeline'!$I12="",'Detailed Timeline'!$J12=""),"",IF(AND(8&gt;='Detailed Timeline'!$I12,8&lt;='Detailed Timeline'!$J12),"■",""))</f>
        <v/>
      </c>
      <c r="L9" s="23">
        <f>IF(OR('Detailed Timeline'!$I12="",'Detailed Timeline'!$J12=""),"",IF(AND(9&gt;='Detailed Timeline'!$I12,9&lt;='Detailed Timeline'!$J12),"■",""))</f>
        <v/>
      </c>
      <c r="M9" s="23">
        <f>IF(OR('Detailed Timeline'!$I12="",'Detailed Timeline'!$J12=""),"",IF(AND(10&gt;='Detailed Timeline'!$I12,10&lt;='Detailed Timeline'!$J12),"■",""))</f>
        <v/>
      </c>
      <c r="N9" s="23">
        <f>IF(OR('Detailed Timeline'!$I12="",'Detailed Timeline'!$J12=""),"",IF(AND(11&gt;='Detailed Timeline'!$I12,11&lt;='Detailed Timeline'!$J12),"■",""))</f>
        <v/>
      </c>
      <c r="O9" s="23">
        <f>IF(OR('Detailed Timeline'!$I12="",'Detailed Timeline'!$J12=""),"",IF(AND(12&gt;='Detailed Timeline'!$I12,12&lt;='Detailed Timeline'!$J12),"■",""))</f>
        <v/>
      </c>
      <c r="P9" s="23">
        <f>IF(OR('Detailed Timeline'!$I12="",'Detailed Timeline'!$J12=""),"",IF(AND(13&gt;='Detailed Timeline'!$I12,13&lt;='Detailed Timeline'!$J12),"■",""))</f>
        <v/>
      </c>
      <c r="Q9" s="23">
        <f>IF(OR('Detailed Timeline'!$I12="",'Detailed Timeline'!$J12=""),"",IF(AND(14&gt;='Detailed Timeline'!$I12,14&lt;='Detailed Timeline'!$J12),"■",""))</f>
        <v/>
      </c>
      <c r="R9" s="23">
        <f>IF(OR('Detailed Timeline'!$I12="",'Detailed Timeline'!$J12=""),"",IF(AND(15&gt;='Detailed Timeline'!$I12,15&lt;='Detailed Timeline'!$J12),"■",""))</f>
        <v/>
      </c>
      <c r="S9" s="23">
        <f>IF(OR('Detailed Timeline'!$I12="",'Detailed Timeline'!$J12=""),"",IF(AND(16&gt;='Detailed Timeline'!$I12,16&lt;='Detailed Timeline'!$J12),"■",""))</f>
        <v/>
      </c>
      <c r="T9" s="23">
        <f>IF(OR('Detailed Timeline'!$I12="",'Detailed Timeline'!$J12=""),"",IF(AND(17&gt;='Detailed Timeline'!$I12,17&lt;='Detailed Timeline'!$J12),"■",""))</f>
        <v/>
      </c>
      <c r="U9" s="23">
        <f>IF(OR('Detailed Timeline'!$I12="",'Detailed Timeline'!$J12=""),"",IF(AND(18&gt;='Detailed Timeline'!$I12,18&lt;='Detailed Timeline'!$J12),"■",""))</f>
        <v/>
      </c>
      <c r="V9" s="23">
        <f>IF(OR('Detailed Timeline'!$I12="",'Detailed Timeline'!$J12=""),"",IF(AND(19&gt;='Detailed Timeline'!$I12,19&lt;='Detailed Timeline'!$J12),"■",""))</f>
        <v/>
      </c>
      <c r="W9" s="23">
        <f>IF(OR('Detailed Timeline'!$I12="",'Detailed Timeline'!$J12=""),"",IF(AND(20&gt;='Detailed Timeline'!$I12,20&lt;='Detailed Timeline'!$J12),"■",""))</f>
        <v/>
      </c>
      <c r="X9" s="23">
        <f>IF(OR('Detailed Timeline'!$I12="",'Detailed Timeline'!$J12=""),"",IF(AND(21&gt;='Detailed Timeline'!$I12,21&lt;='Detailed Timeline'!$J12),"■",""))</f>
        <v/>
      </c>
      <c r="Y9" s="23">
        <f>IF(OR('Detailed Timeline'!$I12="",'Detailed Timeline'!$J12=""),"",IF(AND(22&gt;='Detailed Timeline'!$I12,22&lt;='Detailed Timeline'!$J12),"■",""))</f>
        <v/>
      </c>
      <c r="Z9" s="23">
        <f>IF(OR('Detailed Timeline'!$I12="",'Detailed Timeline'!$J12=""),"",IF(AND(23&gt;='Detailed Timeline'!$I12,23&lt;='Detailed Timeline'!$J12),"■",""))</f>
        <v/>
      </c>
      <c r="AA9" s="23">
        <f>IF(OR('Detailed Timeline'!$I12="",'Detailed Timeline'!$J12=""),"",IF(AND(24&gt;='Detailed Timeline'!$I12,24&lt;='Detailed Timeline'!$J12),"■",""))</f>
        <v/>
      </c>
      <c r="AB9" s="23">
        <f>IF(OR('Detailed Timeline'!$I12="",'Detailed Timeline'!$J12=""),"",IF(AND(25&gt;='Detailed Timeline'!$I12,25&lt;='Detailed Timeline'!$J12),"■",""))</f>
        <v/>
      </c>
      <c r="AC9" s="23">
        <f>IF(OR('Detailed Timeline'!$I12="",'Detailed Timeline'!$J12=""),"",IF(AND(26&gt;='Detailed Timeline'!$I12,26&lt;='Detailed Timeline'!$J12),"■",""))</f>
        <v/>
      </c>
    </row>
    <row r="10" ht="16.4" customHeight="1" s="13">
      <c r="A10" s="12">
        <f>'Detailed Timeline'!A13</f>
        <v/>
      </c>
      <c r="B10" s="12">
        <f>'Detailed Timeline'!B13</f>
        <v/>
      </c>
      <c r="C10" s="12">
        <f>'Detailed Timeline'!C13</f>
        <v/>
      </c>
      <c r="D10" s="23">
        <f>IF(OR('Detailed Timeline'!$I13="",'Detailed Timeline'!$J13=""),"",IF(AND(1&gt;='Detailed Timeline'!$I13,1&lt;='Detailed Timeline'!$J13),"■",""))</f>
        <v/>
      </c>
      <c r="E10" s="23">
        <f>IF(OR('Detailed Timeline'!$I13="",'Detailed Timeline'!$J13=""),"",IF(AND(2&gt;='Detailed Timeline'!$I13,2&lt;='Detailed Timeline'!$J13),"■",""))</f>
        <v/>
      </c>
      <c r="F10" s="23">
        <f>IF(OR('Detailed Timeline'!$I13="",'Detailed Timeline'!$J13=""),"",IF(AND(3&gt;='Detailed Timeline'!$I13,3&lt;='Detailed Timeline'!$J13),"■",""))</f>
        <v/>
      </c>
      <c r="G10" s="23">
        <f>IF(OR('Detailed Timeline'!$I13="",'Detailed Timeline'!$J13=""),"",IF(AND(4&gt;='Detailed Timeline'!$I13,4&lt;='Detailed Timeline'!$J13),"■",""))</f>
        <v/>
      </c>
      <c r="H10" s="23">
        <f>IF(OR('Detailed Timeline'!$I13="",'Detailed Timeline'!$J13=""),"",IF(AND(5&gt;='Detailed Timeline'!$I13,5&lt;='Detailed Timeline'!$J13),"■",""))</f>
        <v/>
      </c>
      <c r="I10" s="23">
        <f>IF(OR('Detailed Timeline'!$I13="",'Detailed Timeline'!$J13=""),"",IF(AND(6&gt;='Detailed Timeline'!$I13,6&lt;='Detailed Timeline'!$J13),"■",""))</f>
        <v/>
      </c>
      <c r="J10" s="23">
        <f>IF(OR('Detailed Timeline'!$I13="",'Detailed Timeline'!$J13=""),"",IF(AND(7&gt;='Detailed Timeline'!$I13,7&lt;='Detailed Timeline'!$J13),"■",""))</f>
        <v/>
      </c>
      <c r="K10" s="23">
        <f>IF(OR('Detailed Timeline'!$I13="",'Detailed Timeline'!$J13=""),"",IF(AND(8&gt;='Detailed Timeline'!$I13,8&lt;='Detailed Timeline'!$J13),"■",""))</f>
        <v/>
      </c>
      <c r="L10" s="23">
        <f>IF(OR('Detailed Timeline'!$I13="",'Detailed Timeline'!$J13=""),"",IF(AND(9&gt;='Detailed Timeline'!$I13,9&lt;='Detailed Timeline'!$J13),"■",""))</f>
        <v/>
      </c>
      <c r="M10" s="23">
        <f>IF(OR('Detailed Timeline'!$I13="",'Detailed Timeline'!$J13=""),"",IF(AND(10&gt;='Detailed Timeline'!$I13,10&lt;='Detailed Timeline'!$J13),"■",""))</f>
        <v/>
      </c>
      <c r="N10" s="23">
        <f>IF(OR('Detailed Timeline'!$I13="",'Detailed Timeline'!$J13=""),"",IF(AND(11&gt;='Detailed Timeline'!$I13,11&lt;='Detailed Timeline'!$J13),"■",""))</f>
        <v/>
      </c>
      <c r="O10" s="23">
        <f>IF(OR('Detailed Timeline'!$I13="",'Detailed Timeline'!$J13=""),"",IF(AND(12&gt;='Detailed Timeline'!$I13,12&lt;='Detailed Timeline'!$J13),"■",""))</f>
        <v/>
      </c>
      <c r="P10" s="23">
        <f>IF(OR('Detailed Timeline'!$I13="",'Detailed Timeline'!$J13=""),"",IF(AND(13&gt;='Detailed Timeline'!$I13,13&lt;='Detailed Timeline'!$J13),"■",""))</f>
        <v/>
      </c>
      <c r="Q10" s="23">
        <f>IF(OR('Detailed Timeline'!$I13="",'Detailed Timeline'!$J13=""),"",IF(AND(14&gt;='Detailed Timeline'!$I13,14&lt;='Detailed Timeline'!$J13),"■",""))</f>
        <v/>
      </c>
      <c r="R10" s="23">
        <f>IF(OR('Detailed Timeline'!$I13="",'Detailed Timeline'!$J13=""),"",IF(AND(15&gt;='Detailed Timeline'!$I13,15&lt;='Detailed Timeline'!$J13),"■",""))</f>
        <v/>
      </c>
      <c r="S10" s="23">
        <f>IF(OR('Detailed Timeline'!$I13="",'Detailed Timeline'!$J13=""),"",IF(AND(16&gt;='Detailed Timeline'!$I13,16&lt;='Detailed Timeline'!$J13),"■",""))</f>
        <v/>
      </c>
      <c r="T10" s="23">
        <f>IF(OR('Detailed Timeline'!$I13="",'Detailed Timeline'!$J13=""),"",IF(AND(17&gt;='Detailed Timeline'!$I13,17&lt;='Detailed Timeline'!$J13),"■",""))</f>
        <v/>
      </c>
      <c r="U10" s="23">
        <f>IF(OR('Detailed Timeline'!$I13="",'Detailed Timeline'!$J13=""),"",IF(AND(18&gt;='Detailed Timeline'!$I13,18&lt;='Detailed Timeline'!$J13),"■",""))</f>
        <v/>
      </c>
      <c r="V10" s="23">
        <f>IF(OR('Detailed Timeline'!$I13="",'Detailed Timeline'!$J13=""),"",IF(AND(19&gt;='Detailed Timeline'!$I13,19&lt;='Detailed Timeline'!$J13),"■",""))</f>
        <v/>
      </c>
      <c r="W10" s="23">
        <f>IF(OR('Detailed Timeline'!$I13="",'Detailed Timeline'!$J13=""),"",IF(AND(20&gt;='Detailed Timeline'!$I13,20&lt;='Detailed Timeline'!$J13),"■",""))</f>
        <v/>
      </c>
      <c r="X10" s="23">
        <f>IF(OR('Detailed Timeline'!$I13="",'Detailed Timeline'!$J13=""),"",IF(AND(21&gt;='Detailed Timeline'!$I13,21&lt;='Detailed Timeline'!$J13),"■",""))</f>
        <v/>
      </c>
      <c r="Y10" s="23">
        <f>IF(OR('Detailed Timeline'!$I13="",'Detailed Timeline'!$J13=""),"",IF(AND(22&gt;='Detailed Timeline'!$I13,22&lt;='Detailed Timeline'!$J13),"■",""))</f>
        <v/>
      </c>
      <c r="Z10" s="23">
        <f>IF(OR('Detailed Timeline'!$I13="",'Detailed Timeline'!$J13=""),"",IF(AND(23&gt;='Detailed Timeline'!$I13,23&lt;='Detailed Timeline'!$J13),"■",""))</f>
        <v/>
      </c>
      <c r="AA10" s="23">
        <f>IF(OR('Detailed Timeline'!$I13="",'Detailed Timeline'!$J13=""),"",IF(AND(24&gt;='Detailed Timeline'!$I13,24&lt;='Detailed Timeline'!$J13),"■",""))</f>
        <v/>
      </c>
      <c r="AB10" s="23">
        <f>IF(OR('Detailed Timeline'!$I13="",'Detailed Timeline'!$J13=""),"",IF(AND(25&gt;='Detailed Timeline'!$I13,25&lt;='Detailed Timeline'!$J13),"■",""))</f>
        <v/>
      </c>
      <c r="AC10" s="23">
        <f>IF(OR('Detailed Timeline'!$I13="",'Detailed Timeline'!$J13=""),"",IF(AND(26&gt;='Detailed Timeline'!$I13,26&lt;='Detailed Timeline'!$J13),"■",""))</f>
        <v/>
      </c>
    </row>
    <row r="11" ht="16.4" customHeight="1" s="13">
      <c r="A11" s="12">
        <f>'Detailed Timeline'!A14</f>
        <v/>
      </c>
      <c r="B11" s="12">
        <f>'Detailed Timeline'!B14</f>
        <v/>
      </c>
      <c r="C11" s="12">
        <f>'Detailed Timeline'!C14</f>
        <v/>
      </c>
      <c r="D11" s="23">
        <f>IF(OR('Detailed Timeline'!$I14="",'Detailed Timeline'!$J14=""),"",IF(AND(1&gt;='Detailed Timeline'!$I14,1&lt;='Detailed Timeline'!$J14),"■",""))</f>
        <v/>
      </c>
      <c r="E11" s="23">
        <f>IF(OR('Detailed Timeline'!$I14="",'Detailed Timeline'!$J14=""),"",IF(AND(2&gt;='Detailed Timeline'!$I14,2&lt;='Detailed Timeline'!$J14),"■",""))</f>
        <v/>
      </c>
      <c r="F11" s="23">
        <f>IF(OR('Detailed Timeline'!$I14="",'Detailed Timeline'!$J14=""),"",IF(AND(3&gt;='Detailed Timeline'!$I14,3&lt;='Detailed Timeline'!$J14),"■",""))</f>
        <v/>
      </c>
      <c r="G11" s="23">
        <f>IF(OR('Detailed Timeline'!$I14="",'Detailed Timeline'!$J14=""),"",IF(AND(4&gt;='Detailed Timeline'!$I14,4&lt;='Detailed Timeline'!$J14),"■",""))</f>
        <v/>
      </c>
      <c r="H11" s="23">
        <f>IF(OR('Detailed Timeline'!$I14="",'Detailed Timeline'!$J14=""),"",IF(AND(5&gt;='Detailed Timeline'!$I14,5&lt;='Detailed Timeline'!$J14),"■",""))</f>
        <v/>
      </c>
      <c r="I11" s="23">
        <f>IF(OR('Detailed Timeline'!$I14="",'Detailed Timeline'!$J14=""),"",IF(AND(6&gt;='Detailed Timeline'!$I14,6&lt;='Detailed Timeline'!$J14),"■",""))</f>
        <v/>
      </c>
      <c r="J11" s="23">
        <f>IF(OR('Detailed Timeline'!$I14="",'Detailed Timeline'!$J14=""),"",IF(AND(7&gt;='Detailed Timeline'!$I14,7&lt;='Detailed Timeline'!$J14),"■",""))</f>
        <v/>
      </c>
      <c r="K11" s="23">
        <f>IF(OR('Detailed Timeline'!$I14="",'Detailed Timeline'!$J14=""),"",IF(AND(8&gt;='Detailed Timeline'!$I14,8&lt;='Detailed Timeline'!$J14),"■",""))</f>
        <v/>
      </c>
      <c r="L11" s="23">
        <f>IF(OR('Detailed Timeline'!$I14="",'Detailed Timeline'!$J14=""),"",IF(AND(9&gt;='Detailed Timeline'!$I14,9&lt;='Detailed Timeline'!$J14),"■",""))</f>
        <v/>
      </c>
      <c r="M11" s="23">
        <f>IF(OR('Detailed Timeline'!$I14="",'Detailed Timeline'!$J14=""),"",IF(AND(10&gt;='Detailed Timeline'!$I14,10&lt;='Detailed Timeline'!$J14),"■",""))</f>
        <v/>
      </c>
      <c r="N11" s="23">
        <f>IF(OR('Detailed Timeline'!$I14="",'Detailed Timeline'!$J14=""),"",IF(AND(11&gt;='Detailed Timeline'!$I14,11&lt;='Detailed Timeline'!$J14),"■",""))</f>
        <v/>
      </c>
      <c r="O11" s="23">
        <f>IF(OR('Detailed Timeline'!$I14="",'Detailed Timeline'!$J14=""),"",IF(AND(12&gt;='Detailed Timeline'!$I14,12&lt;='Detailed Timeline'!$J14),"■",""))</f>
        <v/>
      </c>
      <c r="P11" s="23">
        <f>IF(OR('Detailed Timeline'!$I14="",'Detailed Timeline'!$J14=""),"",IF(AND(13&gt;='Detailed Timeline'!$I14,13&lt;='Detailed Timeline'!$J14),"■",""))</f>
        <v/>
      </c>
      <c r="Q11" s="23">
        <f>IF(OR('Detailed Timeline'!$I14="",'Detailed Timeline'!$J14=""),"",IF(AND(14&gt;='Detailed Timeline'!$I14,14&lt;='Detailed Timeline'!$J14),"■",""))</f>
        <v/>
      </c>
      <c r="R11" s="23">
        <f>IF(OR('Detailed Timeline'!$I14="",'Detailed Timeline'!$J14=""),"",IF(AND(15&gt;='Detailed Timeline'!$I14,15&lt;='Detailed Timeline'!$J14),"■",""))</f>
        <v/>
      </c>
      <c r="S11" s="23">
        <f>IF(OR('Detailed Timeline'!$I14="",'Detailed Timeline'!$J14=""),"",IF(AND(16&gt;='Detailed Timeline'!$I14,16&lt;='Detailed Timeline'!$J14),"■",""))</f>
        <v/>
      </c>
      <c r="T11" s="23">
        <f>IF(OR('Detailed Timeline'!$I14="",'Detailed Timeline'!$J14=""),"",IF(AND(17&gt;='Detailed Timeline'!$I14,17&lt;='Detailed Timeline'!$J14),"■",""))</f>
        <v/>
      </c>
      <c r="U11" s="23">
        <f>IF(OR('Detailed Timeline'!$I14="",'Detailed Timeline'!$J14=""),"",IF(AND(18&gt;='Detailed Timeline'!$I14,18&lt;='Detailed Timeline'!$J14),"■",""))</f>
        <v/>
      </c>
      <c r="V11" s="23">
        <f>IF(OR('Detailed Timeline'!$I14="",'Detailed Timeline'!$J14=""),"",IF(AND(19&gt;='Detailed Timeline'!$I14,19&lt;='Detailed Timeline'!$J14),"■",""))</f>
        <v/>
      </c>
      <c r="W11" s="23">
        <f>IF(OR('Detailed Timeline'!$I14="",'Detailed Timeline'!$J14=""),"",IF(AND(20&gt;='Detailed Timeline'!$I14,20&lt;='Detailed Timeline'!$J14),"■",""))</f>
        <v/>
      </c>
      <c r="X11" s="23">
        <f>IF(OR('Detailed Timeline'!$I14="",'Detailed Timeline'!$J14=""),"",IF(AND(21&gt;='Detailed Timeline'!$I14,21&lt;='Detailed Timeline'!$J14),"■",""))</f>
        <v/>
      </c>
      <c r="Y11" s="23">
        <f>IF(OR('Detailed Timeline'!$I14="",'Detailed Timeline'!$J14=""),"",IF(AND(22&gt;='Detailed Timeline'!$I14,22&lt;='Detailed Timeline'!$J14),"■",""))</f>
        <v/>
      </c>
      <c r="Z11" s="23">
        <f>IF(OR('Detailed Timeline'!$I14="",'Detailed Timeline'!$J14=""),"",IF(AND(23&gt;='Detailed Timeline'!$I14,23&lt;='Detailed Timeline'!$J14),"■",""))</f>
        <v/>
      </c>
      <c r="AA11" s="23">
        <f>IF(OR('Detailed Timeline'!$I14="",'Detailed Timeline'!$J14=""),"",IF(AND(24&gt;='Detailed Timeline'!$I14,24&lt;='Detailed Timeline'!$J14),"■",""))</f>
        <v/>
      </c>
      <c r="AB11" s="23">
        <f>IF(OR('Detailed Timeline'!$I14="",'Detailed Timeline'!$J14=""),"",IF(AND(25&gt;='Detailed Timeline'!$I14,25&lt;='Detailed Timeline'!$J14),"■",""))</f>
        <v/>
      </c>
      <c r="AC11" s="23">
        <f>IF(OR('Detailed Timeline'!$I14="",'Detailed Timeline'!$J14=""),"",IF(AND(26&gt;='Detailed Timeline'!$I14,26&lt;='Detailed Timeline'!$J14),"■",""))</f>
        <v/>
      </c>
    </row>
    <row r="12" ht="16.4" customHeight="1" s="13">
      <c r="A12" s="12">
        <f>'Detailed Timeline'!A24</f>
        <v/>
      </c>
      <c r="B12" s="12">
        <f>'Detailed Timeline'!B24</f>
        <v/>
      </c>
      <c r="C12" s="12">
        <f>'Detailed Timeline'!C24</f>
        <v/>
      </c>
      <c r="D12" s="23">
        <f>IF(OR('Detailed Timeline'!$I24="",'Detailed Timeline'!$J24=""),"",IF(AND(1&gt;='Detailed Timeline'!$I24,1&lt;='Detailed Timeline'!$J24),"■",""))</f>
        <v/>
      </c>
      <c r="E12" s="23">
        <f>IF(OR('Detailed Timeline'!$I24="",'Detailed Timeline'!$J24=""),"",IF(AND(2&gt;='Detailed Timeline'!$I24,2&lt;='Detailed Timeline'!$J24),"■",""))</f>
        <v/>
      </c>
      <c r="F12" s="23">
        <f>IF(OR('Detailed Timeline'!$I24="",'Detailed Timeline'!$J24=""),"",IF(AND(3&gt;='Detailed Timeline'!$I24,3&lt;='Detailed Timeline'!$J24),"■",""))</f>
        <v/>
      </c>
      <c r="G12" s="23">
        <f>IF(OR('Detailed Timeline'!$I24="",'Detailed Timeline'!$J24=""),"",IF(AND(4&gt;='Detailed Timeline'!$I24,4&lt;='Detailed Timeline'!$J24),"■",""))</f>
        <v/>
      </c>
      <c r="H12" s="23">
        <f>IF(OR('Detailed Timeline'!$I24="",'Detailed Timeline'!$J24=""),"",IF(AND(5&gt;='Detailed Timeline'!$I24,5&lt;='Detailed Timeline'!$J24),"■",""))</f>
        <v/>
      </c>
      <c r="I12" s="23">
        <f>IF(OR('Detailed Timeline'!$I24="",'Detailed Timeline'!$J24=""),"",IF(AND(6&gt;='Detailed Timeline'!$I24,6&lt;='Detailed Timeline'!$J24),"■",""))</f>
        <v/>
      </c>
      <c r="J12" s="23">
        <f>IF(OR('Detailed Timeline'!$I24="",'Detailed Timeline'!$J24=""),"",IF(AND(7&gt;='Detailed Timeline'!$I24,7&lt;='Detailed Timeline'!$J24),"■",""))</f>
        <v/>
      </c>
      <c r="K12" s="23">
        <f>IF(OR('Detailed Timeline'!$I24="",'Detailed Timeline'!$J24=""),"",IF(AND(8&gt;='Detailed Timeline'!$I24,8&lt;='Detailed Timeline'!$J24),"■",""))</f>
        <v/>
      </c>
      <c r="L12" s="23">
        <f>IF(OR('Detailed Timeline'!$I24="",'Detailed Timeline'!$J24=""),"",IF(AND(9&gt;='Detailed Timeline'!$I24,9&lt;='Detailed Timeline'!$J24),"■",""))</f>
        <v/>
      </c>
      <c r="M12" s="23">
        <f>IF(OR('Detailed Timeline'!$I24="",'Detailed Timeline'!$J24=""),"",IF(AND(10&gt;='Detailed Timeline'!$I24,10&lt;='Detailed Timeline'!$J24),"■",""))</f>
        <v/>
      </c>
      <c r="N12" s="23">
        <f>IF(OR('Detailed Timeline'!$I24="",'Detailed Timeline'!$J24=""),"",IF(AND(11&gt;='Detailed Timeline'!$I24,11&lt;='Detailed Timeline'!$J24),"■",""))</f>
        <v/>
      </c>
      <c r="O12" s="23">
        <f>IF(OR('Detailed Timeline'!$I24="",'Detailed Timeline'!$J24=""),"",IF(AND(12&gt;='Detailed Timeline'!$I24,12&lt;='Detailed Timeline'!$J24),"■",""))</f>
        <v/>
      </c>
      <c r="P12" s="23">
        <f>IF(OR('Detailed Timeline'!$I24="",'Detailed Timeline'!$J24=""),"",IF(AND(13&gt;='Detailed Timeline'!$I24,13&lt;='Detailed Timeline'!$J24),"■",""))</f>
        <v/>
      </c>
      <c r="Q12" s="23">
        <f>IF(OR('Detailed Timeline'!$I24="",'Detailed Timeline'!$J24=""),"",IF(AND(14&gt;='Detailed Timeline'!$I24,14&lt;='Detailed Timeline'!$J24),"■",""))</f>
        <v/>
      </c>
      <c r="R12" s="23">
        <f>IF(OR('Detailed Timeline'!$I24="",'Detailed Timeline'!$J24=""),"",IF(AND(15&gt;='Detailed Timeline'!$I24,15&lt;='Detailed Timeline'!$J24),"■",""))</f>
        <v/>
      </c>
      <c r="S12" s="23">
        <f>IF(OR('Detailed Timeline'!$I24="",'Detailed Timeline'!$J24=""),"",IF(AND(16&gt;='Detailed Timeline'!$I24,16&lt;='Detailed Timeline'!$J24),"■",""))</f>
        <v/>
      </c>
      <c r="T12" s="23">
        <f>IF(OR('Detailed Timeline'!$I24="",'Detailed Timeline'!$J24=""),"",IF(AND(17&gt;='Detailed Timeline'!$I24,17&lt;='Detailed Timeline'!$J24),"■",""))</f>
        <v/>
      </c>
      <c r="U12" s="23">
        <f>IF(OR('Detailed Timeline'!$I24="",'Detailed Timeline'!$J24=""),"",IF(AND(18&gt;='Detailed Timeline'!$I24,18&lt;='Detailed Timeline'!$J24),"■",""))</f>
        <v/>
      </c>
      <c r="V12" s="23">
        <f>IF(OR('Detailed Timeline'!$I24="",'Detailed Timeline'!$J24=""),"",IF(AND(19&gt;='Detailed Timeline'!$I24,19&lt;='Detailed Timeline'!$J24),"■",""))</f>
        <v/>
      </c>
      <c r="W12" s="23">
        <f>IF(OR('Detailed Timeline'!$I24="",'Detailed Timeline'!$J24=""),"",IF(AND(20&gt;='Detailed Timeline'!$I24,20&lt;='Detailed Timeline'!$J24),"■",""))</f>
        <v/>
      </c>
      <c r="X12" s="23">
        <f>IF(OR('Detailed Timeline'!$I24="",'Detailed Timeline'!$J24=""),"",IF(AND(21&gt;='Detailed Timeline'!$I24,21&lt;='Detailed Timeline'!$J24),"■",""))</f>
        <v/>
      </c>
      <c r="Y12" s="23">
        <f>IF(OR('Detailed Timeline'!$I24="",'Detailed Timeline'!$J24=""),"",IF(AND(22&gt;='Detailed Timeline'!$I24,22&lt;='Detailed Timeline'!$J24),"■",""))</f>
        <v/>
      </c>
      <c r="Z12" s="23">
        <f>IF(OR('Detailed Timeline'!$I24="",'Detailed Timeline'!$J24=""),"",IF(AND(23&gt;='Detailed Timeline'!$I24,23&lt;='Detailed Timeline'!$J24),"■",""))</f>
        <v/>
      </c>
      <c r="AA12" s="23">
        <f>IF(OR('Detailed Timeline'!$I24="",'Detailed Timeline'!$J24=""),"",IF(AND(24&gt;='Detailed Timeline'!$I24,24&lt;='Detailed Timeline'!$J24),"■",""))</f>
        <v/>
      </c>
      <c r="AB12" s="23">
        <f>IF(OR('Detailed Timeline'!$I24="",'Detailed Timeline'!$J24=""),"",IF(AND(25&gt;='Detailed Timeline'!$I24,25&lt;='Detailed Timeline'!$J24),"■",""))</f>
        <v/>
      </c>
      <c r="AC12" s="23">
        <f>IF(OR('Detailed Timeline'!$I24="",'Detailed Timeline'!$J24=""),"",IF(AND(26&gt;='Detailed Timeline'!$I24,26&lt;='Detailed Timeline'!$J24),"■",""))</f>
        <v/>
      </c>
    </row>
    <row r="13" ht="16.4" customHeight="1" s="13">
      <c r="A13" s="12">
        <f>'Detailed Timeline'!A15</f>
        <v/>
      </c>
      <c r="B13" s="12">
        <f>'Detailed Timeline'!B15</f>
        <v/>
      </c>
      <c r="C13" s="12">
        <f>'Detailed Timeline'!C15</f>
        <v/>
      </c>
      <c r="D13" s="23">
        <f>IF(OR('Detailed Timeline'!$I15="",'Detailed Timeline'!$J15=""),"",IF(AND(1&gt;='Detailed Timeline'!$I15,1&lt;='Detailed Timeline'!$J15),"■",""))</f>
        <v/>
      </c>
      <c r="E13" s="23">
        <f>IF(OR('Detailed Timeline'!$I15="",'Detailed Timeline'!$J15=""),"",IF(AND(2&gt;='Detailed Timeline'!$I15,2&lt;='Detailed Timeline'!$J15),"■",""))</f>
        <v/>
      </c>
      <c r="F13" s="23">
        <f>IF(OR('Detailed Timeline'!$I15="",'Detailed Timeline'!$J15=""),"",IF(AND(3&gt;='Detailed Timeline'!$I15,3&lt;='Detailed Timeline'!$J15),"■",""))</f>
        <v/>
      </c>
      <c r="G13" s="23">
        <f>IF(OR('Detailed Timeline'!$I15="",'Detailed Timeline'!$J15=""),"",IF(AND(4&gt;='Detailed Timeline'!$I15,4&lt;='Detailed Timeline'!$J15),"■",""))</f>
        <v/>
      </c>
      <c r="H13" s="23">
        <f>IF(OR('Detailed Timeline'!$I15="",'Detailed Timeline'!$J15=""),"",IF(AND(5&gt;='Detailed Timeline'!$I15,5&lt;='Detailed Timeline'!$J15),"■",""))</f>
        <v/>
      </c>
      <c r="I13" s="23">
        <f>IF(OR('Detailed Timeline'!$I15="",'Detailed Timeline'!$J15=""),"",IF(AND(6&gt;='Detailed Timeline'!$I15,6&lt;='Detailed Timeline'!$J15),"■",""))</f>
        <v/>
      </c>
      <c r="J13" s="23">
        <f>IF(OR('Detailed Timeline'!$I15="",'Detailed Timeline'!$J15=""),"",IF(AND(7&gt;='Detailed Timeline'!$I15,7&lt;='Detailed Timeline'!$J15),"■",""))</f>
        <v/>
      </c>
      <c r="K13" s="23">
        <f>IF(OR('Detailed Timeline'!$I15="",'Detailed Timeline'!$J15=""),"",IF(AND(8&gt;='Detailed Timeline'!$I15,8&lt;='Detailed Timeline'!$J15),"■",""))</f>
        <v/>
      </c>
      <c r="L13" s="23">
        <f>IF(OR('Detailed Timeline'!$I15="",'Detailed Timeline'!$J15=""),"",IF(AND(9&gt;='Detailed Timeline'!$I15,9&lt;='Detailed Timeline'!$J15),"■",""))</f>
        <v/>
      </c>
      <c r="M13" s="23">
        <f>IF(OR('Detailed Timeline'!$I15="",'Detailed Timeline'!$J15=""),"",IF(AND(10&gt;='Detailed Timeline'!$I15,10&lt;='Detailed Timeline'!$J15),"■",""))</f>
        <v/>
      </c>
      <c r="N13" s="23">
        <f>IF(OR('Detailed Timeline'!$I15="",'Detailed Timeline'!$J15=""),"",IF(AND(11&gt;='Detailed Timeline'!$I15,11&lt;='Detailed Timeline'!$J15),"■",""))</f>
        <v/>
      </c>
      <c r="O13" s="23">
        <f>IF(OR('Detailed Timeline'!$I15="",'Detailed Timeline'!$J15=""),"",IF(AND(12&gt;='Detailed Timeline'!$I15,12&lt;='Detailed Timeline'!$J15),"■",""))</f>
        <v/>
      </c>
      <c r="P13" s="23">
        <f>IF(OR('Detailed Timeline'!$I15="",'Detailed Timeline'!$J15=""),"",IF(AND(13&gt;='Detailed Timeline'!$I15,13&lt;='Detailed Timeline'!$J15),"■",""))</f>
        <v/>
      </c>
      <c r="Q13" s="23">
        <f>IF(OR('Detailed Timeline'!$I15="",'Detailed Timeline'!$J15=""),"",IF(AND(14&gt;='Detailed Timeline'!$I15,14&lt;='Detailed Timeline'!$J15),"■",""))</f>
        <v/>
      </c>
      <c r="R13" s="23">
        <f>IF(OR('Detailed Timeline'!$I15="",'Detailed Timeline'!$J15=""),"",IF(AND(15&gt;='Detailed Timeline'!$I15,15&lt;='Detailed Timeline'!$J15),"■",""))</f>
        <v/>
      </c>
      <c r="S13" s="23">
        <f>IF(OR('Detailed Timeline'!$I15="",'Detailed Timeline'!$J15=""),"",IF(AND(16&gt;='Detailed Timeline'!$I15,16&lt;='Detailed Timeline'!$J15),"■",""))</f>
        <v/>
      </c>
      <c r="T13" s="23">
        <f>IF(OR('Detailed Timeline'!$I15="",'Detailed Timeline'!$J15=""),"",IF(AND(17&gt;='Detailed Timeline'!$I15,17&lt;='Detailed Timeline'!$J15),"■",""))</f>
        <v/>
      </c>
      <c r="U13" s="23">
        <f>IF(OR('Detailed Timeline'!$I15="",'Detailed Timeline'!$J15=""),"",IF(AND(18&gt;='Detailed Timeline'!$I15,18&lt;='Detailed Timeline'!$J15),"■",""))</f>
        <v/>
      </c>
      <c r="V13" s="23">
        <f>IF(OR('Detailed Timeline'!$I15="",'Detailed Timeline'!$J15=""),"",IF(AND(19&gt;='Detailed Timeline'!$I15,19&lt;='Detailed Timeline'!$J15),"■",""))</f>
        <v/>
      </c>
      <c r="W13" s="23">
        <f>IF(OR('Detailed Timeline'!$I15="",'Detailed Timeline'!$J15=""),"",IF(AND(20&gt;='Detailed Timeline'!$I15,20&lt;='Detailed Timeline'!$J15),"■",""))</f>
        <v/>
      </c>
      <c r="X13" s="23">
        <f>IF(OR('Detailed Timeline'!$I15="",'Detailed Timeline'!$J15=""),"",IF(AND(21&gt;='Detailed Timeline'!$I15,21&lt;='Detailed Timeline'!$J15),"■",""))</f>
        <v/>
      </c>
      <c r="Y13" s="23">
        <f>IF(OR('Detailed Timeline'!$I15="",'Detailed Timeline'!$J15=""),"",IF(AND(22&gt;='Detailed Timeline'!$I15,22&lt;='Detailed Timeline'!$J15),"■",""))</f>
        <v/>
      </c>
      <c r="Z13" s="23">
        <f>IF(OR('Detailed Timeline'!$I15="",'Detailed Timeline'!$J15=""),"",IF(AND(23&gt;='Detailed Timeline'!$I15,23&lt;='Detailed Timeline'!$J15),"■",""))</f>
        <v/>
      </c>
      <c r="AA13" s="23">
        <f>IF(OR('Detailed Timeline'!$I15="",'Detailed Timeline'!$J15=""),"",IF(AND(24&gt;='Detailed Timeline'!$I15,24&lt;='Detailed Timeline'!$J15),"■",""))</f>
        <v/>
      </c>
      <c r="AB13" s="23">
        <f>IF(OR('Detailed Timeline'!$I15="",'Detailed Timeline'!$J15=""),"",IF(AND(25&gt;='Detailed Timeline'!$I15,25&lt;='Detailed Timeline'!$J15),"■",""))</f>
        <v/>
      </c>
      <c r="AC13" s="23">
        <f>IF(OR('Detailed Timeline'!$I15="",'Detailed Timeline'!$J15=""),"",IF(AND(26&gt;='Detailed Timeline'!$I15,26&lt;='Detailed Timeline'!$J15),"■",""))</f>
        <v/>
      </c>
    </row>
    <row r="14" ht="16.4" customHeight="1" s="13">
      <c r="A14" s="12">
        <f>'Detailed Timeline'!A16</f>
        <v/>
      </c>
      <c r="B14" s="12">
        <f>'Detailed Timeline'!B16</f>
        <v/>
      </c>
      <c r="C14" s="12">
        <f>'Detailed Timeline'!C16</f>
        <v/>
      </c>
      <c r="D14" s="23">
        <f>IF(OR('Detailed Timeline'!$I16="",'Detailed Timeline'!$J16=""),"",IF(AND(1&gt;='Detailed Timeline'!$I16,1&lt;='Detailed Timeline'!$J16),"■",""))</f>
        <v/>
      </c>
      <c r="E14" s="23">
        <f>IF(OR('Detailed Timeline'!$I16="",'Detailed Timeline'!$J16=""),"",IF(AND(2&gt;='Detailed Timeline'!$I16,2&lt;='Detailed Timeline'!$J16),"■",""))</f>
        <v/>
      </c>
      <c r="F14" s="23">
        <f>IF(OR('Detailed Timeline'!$I16="",'Detailed Timeline'!$J16=""),"",IF(AND(3&gt;='Detailed Timeline'!$I16,3&lt;='Detailed Timeline'!$J16),"■",""))</f>
        <v/>
      </c>
      <c r="G14" s="23">
        <f>IF(OR('Detailed Timeline'!$I16="",'Detailed Timeline'!$J16=""),"",IF(AND(4&gt;='Detailed Timeline'!$I16,4&lt;='Detailed Timeline'!$J16),"■",""))</f>
        <v/>
      </c>
      <c r="H14" s="23">
        <f>IF(OR('Detailed Timeline'!$I16="",'Detailed Timeline'!$J16=""),"",IF(AND(5&gt;='Detailed Timeline'!$I16,5&lt;='Detailed Timeline'!$J16),"■",""))</f>
        <v/>
      </c>
      <c r="I14" s="23">
        <f>IF(OR('Detailed Timeline'!$I16="",'Detailed Timeline'!$J16=""),"",IF(AND(6&gt;='Detailed Timeline'!$I16,6&lt;='Detailed Timeline'!$J16),"■",""))</f>
        <v/>
      </c>
      <c r="J14" s="23">
        <f>IF(OR('Detailed Timeline'!$I16="",'Detailed Timeline'!$J16=""),"",IF(AND(7&gt;='Detailed Timeline'!$I16,7&lt;='Detailed Timeline'!$J16),"■",""))</f>
        <v/>
      </c>
      <c r="K14" s="23">
        <f>IF(OR('Detailed Timeline'!$I16="",'Detailed Timeline'!$J16=""),"",IF(AND(8&gt;='Detailed Timeline'!$I16,8&lt;='Detailed Timeline'!$J16),"■",""))</f>
        <v/>
      </c>
      <c r="L14" s="23">
        <f>IF(OR('Detailed Timeline'!$I16="",'Detailed Timeline'!$J16=""),"",IF(AND(9&gt;='Detailed Timeline'!$I16,9&lt;='Detailed Timeline'!$J16),"■",""))</f>
        <v/>
      </c>
      <c r="M14" s="23">
        <f>IF(OR('Detailed Timeline'!$I16="",'Detailed Timeline'!$J16=""),"",IF(AND(10&gt;='Detailed Timeline'!$I16,10&lt;='Detailed Timeline'!$J16),"■",""))</f>
        <v/>
      </c>
      <c r="N14" s="23">
        <f>IF(OR('Detailed Timeline'!$I16="",'Detailed Timeline'!$J16=""),"",IF(AND(11&gt;='Detailed Timeline'!$I16,11&lt;='Detailed Timeline'!$J16),"■",""))</f>
        <v/>
      </c>
      <c r="O14" s="23">
        <f>IF(OR('Detailed Timeline'!$I16="",'Detailed Timeline'!$J16=""),"",IF(AND(12&gt;='Detailed Timeline'!$I16,12&lt;='Detailed Timeline'!$J16),"■",""))</f>
        <v/>
      </c>
      <c r="P14" s="23">
        <f>IF(OR('Detailed Timeline'!$I16="",'Detailed Timeline'!$J16=""),"",IF(AND(13&gt;='Detailed Timeline'!$I16,13&lt;='Detailed Timeline'!$J16),"■",""))</f>
        <v/>
      </c>
      <c r="Q14" s="23">
        <f>IF(OR('Detailed Timeline'!$I16="",'Detailed Timeline'!$J16=""),"",IF(AND(14&gt;='Detailed Timeline'!$I16,14&lt;='Detailed Timeline'!$J16),"■",""))</f>
        <v/>
      </c>
      <c r="R14" s="23">
        <f>IF(OR('Detailed Timeline'!$I16="",'Detailed Timeline'!$J16=""),"",IF(AND(15&gt;='Detailed Timeline'!$I16,15&lt;='Detailed Timeline'!$J16),"■",""))</f>
        <v/>
      </c>
      <c r="S14" s="23">
        <f>IF(OR('Detailed Timeline'!$I16="",'Detailed Timeline'!$J16=""),"",IF(AND(16&gt;='Detailed Timeline'!$I16,16&lt;='Detailed Timeline'!$J16),"■",""))</f>
        <v/>
      </c>
      <c r="T14" s="23">
        <f>IF(OR('Detailed Timeline'!$I16="",'Detailed Timeline'!$J16=""),"",IF(AND(17&gt;='Detailed Timeline'!$I16,17&lt;='Detailed Timeline'!$J16),"■",""))</f>
        <v/>
      </c>
      <c r="U14" s="23">
        <f>IF(OR('Detailed Timeline'!$I16="",'Detailed Timeline'!$J16=""),"",IF(AND(18&gt;='Detailed Timeline'!$I16,18&lt;='Detailed Timeline'!$J16),"■",""))</f>
        <v/>
      </c>
      <c r="V14" s="23">
        <f>IF(OR('Detailed Timeline'!$I16="",'Detailed Timeline'!$J16=""),"",IF(AND(19&gt;='Detailed Timeline'!$I16,19&lt;='Detailed Timeline'!$J16),"■",""))</f>
        <v/>
      </c>
      <c r="W14" s="23">
        <f>IF(OR('Detailed Timeline'!$I16="",'Detailed Timeline'!$J16=""),"",IF(AND(20&gt;='Detailed Timeline'!$I16,20&lt;='Detailed Timeline'!$J16),"■",""))</f>
        <v/>
      </c>
      <c r="X14" s="23">
        <f>IF(OR('Detailed Timeline'!$I16="",'Detailed Timeline'!$J16=""),"",IF(AND(21&gt;='Detailed Timeline'!$I16,21&lt;='Detailed Timeline'!$J16),"■",""))</f>
        <v/>
      </c>
      <c r="Y14" s="23">
        <f>IF(OR('Detailed Timeline'!$I16="",'Detailed Timeline'!$J16=""),"",IF(AND(22&gt;='Detailed Timeline'!$I16,22&lt;='Detailed Timeline'!$J16),"■",""))</f>
        <v/>
      </c>
      <c r="Z14" s="23">
        <f>IF(OR('Detailed Timeline'!$I16="",'Detailed Timeline'!$J16=""),"",IF(AND(23&gt;='Detailed Timeline'!$I16,23&lt;='Detailed Timeline'!$J16),"■",""))</f>
        <v/>
      </c>
      <c r="AA14" s="23">
        <f>IF(OR('Detailed Timeline'!$I16="",'Detailed Timeline'!$J16=""),"",IF(AND(24&gt;='Detailed Timeline'!$I16,24&lt;='Detailed Timeline'!$J16),"■",""))</f>
        <v/>
      </c>
      <c r="AB14" s="23">
        <f>IF(OR('Detailed Timeline'!$I16="",'Detailed Timeline'!$J16=""),"",IF(AND(25&gt;='Detailed Timeline'!$I16,25&lt;='Detailed Timeline'!$J16),"■",""))</f>
        <v/>
      </c>
      <c r="AC14" s="23">
        <f>IF(OR('Detailed Timeline'!$I16="",'Detailed Timeline'!$J16=""),"",IF(AND(26&gt;='Detailed Timeline'!$I16,26&lt;='Detailed Timeline'!$J16),"■",""))</f>
        <v/>
      </c>
    </row>
    <row r="15" ht="16.4" customHeight="1" s="13">
      <c r="A15" s="12">
        <f>'Detailed Timeline'!A17</f>
        <v/>
      </c>
      <c r="B15" s="12">
        <f>'Detailed Timeline'!B17</f>
        <v/>
      </c>
      <c r="C15" s="12">
        <f>'Detailed Timeline'!C17</f>
        <v/>
      </c>
      <c r="D15" s="23">
        <f>IF(OR('Detailed Timeline'!$I17="",'Detailed Timeline'!$J17=""),"",IF(AND(1&gt;='Detailed Timeline'!$I17,1&lt;='Detailed Timeline'!$J17),"■",""))</f>
        <v/>
      </c>
      <c r="E15" s="23">
        <f>IF(OR('Detailed Timeline'!$I17="",'Detailed Timeline'!$J17=""),"",IF(AND(2&gt;='Detailed Timeline'!$I17,2&lt;='Detailed Timeline'!$J17),"■",""))</f>
        <v/>
      </c>
      <c r="F15" s="23">
        <f>IF(OR('Detailed Timeline'!$I17="",'Detailed Timeline'!$J17=""),"",IF(AND(3&gt;='Detailed Timeline'!$I17,3&lt;='Detailed Timeline'!$J17),"■",""))</f>
        <v/>
      </c>
      <c r="G15" s="23">
        <f>IF(OR('Detailed Timeline'!$I17="",'Detailed Timeline'!$J17=""),"",IF(AND(4&gt;='Detailed Timeline'!$I17,4&lt;='Detailed Timeline'!$J17),"■",""))</f>
        <v/>
      </c>
      <c r="H15" s="23">
        <f>IF(OR('Detailed Timeline'!$I17="",'Detailed Timeline'!$J17=""),"",IF(AND(5&gt;='Detailed Timeline'!$I17,5&lt;='Detailed Timeline'!$J17),"■",""))</f>
        <v/>
      </c>
      <c r="I15" s="23">
        <f>IF(OR('Detailed Timeline'!$I17="",'Detailed Timeline'!$J17=""),"",IF(AND(6&gt;='Detailed Timeline'!$I17,6&lt;='Detailed Timeline'!$J17),"■",""))</f>
        <v/>
      </c>
      <c r="J15" s="23">
        <f>IF(OR('Detailed Timeline'!$I17="",'Detailed Timeline'!$J17=""),"",IF(AND(7&gt;='Detailed Timeline'!$I17,7&lt;='Detailed Timeline'!$J17),"■",""))</f>
        <v/>
      </c>
      <c r="K15" s="23">
        <f>IF(OR('Detailed Timeline'!$I17="",'Detailed Timeline'!$J17=""),"",IF(AND(8&gt;='Detailed Timeline'!$I17,8&lt;='Detailed Timeline'!$J17),"■",""))</f>
        <v/>
      </c>
      <c r="L15" s="23">
        <f>IF(OR('Detailed Timeline'!$I17="",'Detailed Timeline'!$J17=""),"",IF(AND(9&gt;='Detailed Timeline'!$I17,9&lt;='Detailed Timeline'!$J17),"■",""))</f>
        <v/>
      </c>
      <c r="M15" s="23">
        <f>IF(OR('Detailed Timeline'!$I17="",'Detailed Timeline'!$J17=""),"",IF(AND(10&gt;='Detailed Timeline'!$I17,10&lt;='Detailed Timeline'!$J17),"■",""))</f>
        <v/>
      </c>
      <c r="N15" s="23">
        <f>IF(OR('Detailed Timeline'!$I17="",'Detailed Timeline'!$J17=""),"",IF(AND(11&gt;='Detailed Timeline'!$I17,11&lt;='Detailed Timeline'!$J17),"■",""))</f>
        <v/>
      </c>
      <c r="O15" s="23">
        <f>IF(OR('Detailed Timeline'!$I17="",'Detailed Timeline'!$J17=""),"",IF(AND(12&gt;='Detailed Timeline'!$I17,12&lt;='Detailed Timeline'!$J17),"■",""))</f>
        <v/>
      </c>
      <c r="P15" s="23">
        <f>IF(OR('Detailed Timeline'!$I17="",'Detailed Timeline'!$J17=""),"",IF(AND(13&gt;='Detailed Timeline'!$I17,13&lt;='Detailed Timeline'!$J17),"■",""))</f>
        <v/>
      </c>
      <c r="Q15" s="23">
        <f>IF(OR('Detailed Timeline'!$I17="",'Detailed Timeline'!$J17=""),"",IF(AND(14&gt;='Detailed Timeline'!$I17,14&lt;='Detailed Timeline'!$J17),"■",""))</f>
        <v/>
      </c>
      <c r="R15" s="23">
        <f>IF(OR('Detailed Timeline'!$I17="",'Detailed Timeline'!$J17=""),"",IF(AND(15&gt;='Detailed Timeline'!$I17,15&lt;='Detailed Timeline'!$J17),"■",""))</f>
        <v/>
      </c>
      <c r="S15" s="23">
        <f>IF(OR('Detailed Timeline'!$I17="",'Detailed Timeline'!$J17=""),"",IF(AND(16&gt;='Detailed Timeline'!$I17,16&lt;='Detailed Timeline'!$J17),"■",""))</f>
        <v/>
      </c>
      <c r="T15" s="23">
        <f>IF(OR('Detailed Timeline'!$I17="",'Detailed Timeline'!$J17=""),"",IF(AND(17&gt;='Detailed Timeline'!$I17,17&lt;='Detailed Timeline'!$J17),"■",""))</f>
        <v/>
      </c>
      <c r="U15" s="23">
        <f>IF(OR('Detailed Timeline'!$I17="",'Detailed Timeline'!$J17=""),"",IF(AND(18&gt;='Detailed Timeline'!$I17,18&lt;='Detailed Timeline'!$J17),"■",""))</f>
        <v/>
      </c>
      <c r="V15" s="23">
        <f>IF(OR('Detailed Timeline'!$I17="",'Detailed Timeline'!$J17=""),"",IF(AND(19&gt;='Detailed Timeline'!$I17,19&lt;='Detailed Timeline'!$J17),"■",""))</f>
        <v/>
      </c>
      <c r="W15" s="23">
        <f>IF(OR('Detailed Timeline'!$I17="",'Detailed Timeline'!$J17=""),"",IF(AND(20&gt;='Detailed Timeline'!$I17,20&lt;='Detailed Timeline'!$J17),"■",""))</f>
        <v/>
      </c>
      <c r="X15" s="23">
        <f>IF(OR('Detailed Timeline'!$I17="",'Detailed Timeline'!$J17=""),"",IF(AND(21&gt;='Detailed Timeline'!$I17,21&lt;='Detailed Timeline'!$J17),"■",""))</f>
        <v/>
      </c>
      <c r="Y15" s="23">
        <f>IF(OR('Detailed Timeline'!$I17="",'Detailed Timeline'!$J17=""),"",IF(AND(22&gt;='Detailed Timeline'!$I17,22&lt;='Detailed Timeline'!$J17),"■",""))</f>
        <v/>
      </c>
      <c r="Z15" s="23">
        <f>IF(OR('Detailed Timeline'!$I17="",'Detailed Timeline'!$J17=""),"",IF(AND(23&gt;='Detailed Timeline'!$I17,23&lt;='Detailed Timeline'!$J17),"■",""))</f>
        <v/>
      </c>
      <c r="AA15" s="23">
        <f>IF(OR('Detailed Timeline'!$I17="",'Detailed Timeline'!$J17=""),"",IF(AND(24&gt;='Detailed Timeline'!$I17,24&lt;='Detailed Timeline'!$J17),"■",""))</f>
        <v/>
      </c>
      <c r="AB15" s="23">
        <f>IF(OR('Detailed Timeline'!$I17="",'Detailed Timeline'!$J17=""),"",IF(AND(25&gt;='Detailed Timeline'!$I17,25&lt;='Detailed Timeline'!$J17),"■",""))</f>
        <v/>
      </c>
      <c r="AC15" s="23">
        <f>IF(OR('Detailed Timeline'!$I17="",'Detailed Timeline'!$J17=""),"",IF(AND(26&gt;='Detailed Timeline'!$I17,26&lt;='Detailed Timeline'!$J17),"■",""))</f>
        <v/>
      </c>
    </row>
    <row r="16" ht="16.4" customHeight="1" s="13">
      <c r="A16" s="12">
        <f>'Detailed Timeline'!A6</f>
        <v/>
      </c>
      <c r="B16" s="12">
        <f>'Detailed Timeline'!B6</f>
        <v/>
      </c>
      <c r="C16" s="12">
        <f>'Detailed Timeline'!C6</f>
        <v/>
      </c>
      <c r="D16" s="23">
        <f>IF(OR('Detailed Timeline'!$I6="",'Detailed Timeline'!$J6=""),"",IF(AND(1&gt;='Detailed Timeline'!$I6,1&lt;='Detailed Timeline'!$J6),"■",""))</f>
        <v/>
      </c>
      <c r="E16" s="23">
        <f>IF(OR('Detailed Timeline'!$I6="",'Detailed Timeline'!$J6=""),"",IF(AND(2&gt;='Detailed Timeline'!$I6,2&lt;='Detailed Timeline'!$J6),"■",""))</f>
        <v/>
      </c>
      <c r="F16" s="23">
        <f>IF(OR('Detailed Timeline'!$I6="",'Detailed Timeline'!$J6=""),"",IF(AND(3&gt;='Detailed Timeline'!$I6,3&lt;='Detailed Timeline'!$J6),"■",""))</f>
        <v/>
      </c>
      <c r="G16" s="23">
        <f>IF(OR('Detailed Timeline'!$I6="",'Detailed Timeline'!$J6=""),"",IF(AND(4&gt;='Detailed Timeline'!$I6,4&lt;='Detailed Timeline'!$J6),"■",""))</f>
        <v/>
      </c>
      <c r="H16" s="23">
        <f>IF(OR('Detailed Timeline'!$I6="",'Detailed Timeline'!$J6=""),"",IF(AND(5&gt;='Detailed Timeline'!$I6,5&lt;='Detailed Timeline'!$J6),"■",""))</f>
        <v/>
      </c>
      <c r="I16" s="23">
        <f>IF(OR('Detailed Timeline'!$I6="",'Detailed Timeline'!$J6=""),"",IF(AND(6&gt;='Detailed Timeline'!$I6,6&lt;='Detailed Timeline'!$J6),"■",""))</f>
        <v/>
      </c>
      <c r="J16" s="23">
        <f>IF(OR('Detailed Timeline'!$I6="",'Detailed Timeline'!$J6=""),"",IF(AND(7&gt;='Detailed Timeline'!$I6,7&lt;='Detailed Timeline'!$J6),"■",""))</f>
        <v/>
      </c>
      <c r="K16" s="23">
        <f>IF(OR('Detailed Timeline'!$I6="",'Detailed Timeline'!$J6=""),"",IF(AND(8&gt;='Detailed Timeline'!$I6,8&lt;='Detailed Timeline'!$J6),"■",""))</f>
        <v/>
      </c>
      <c r="L16" s="23">
        <f>IF(OR('Detailed Timeline'!$I6="",'Detailed Timeline'!$J6=""),"",IF(AND(9&gt;='Detailed Timeline'!$I6,9&lt;='Detailed Timeline'!$J6),"■",""))</f>
        <v/>
      </c>
      <c r="M16" s="23">
        <f>IF(OR('Detailed Timeline'!$I6="",'Detailed Timeline'!$J6=""),"",IF(AND(10&gt;='Detailed Timeline'!$I6,10&lt;='Detailed Timeline'!$J6),"■",""))</f>
        <v/>
      </c>
      <c r="N16" s="23">
        <f>IF(OR('Detailed Timeline'!$I6="",'Detailed Timeline'!$J6=""),"",IF(AND(11&gt;='Detailed Timeline'!$I6,11&lt;='Detailed Timeline'!$J6),"■",""))</f>
        <v/>
      </c>
      <c r="O16" s="23">
        <f>IF(OR('Detailed Timeline'!$I6="",'Detailed Timeline'!$J6=""),"",IF(AND(12&gt;='Detailed Timeline'!$I6,12&lt;='Detailed Timeline'!$J6),"■",""))</f>
        <v/>
      </c>
      <c r="P16" s="23">
        <f>IF(OR('Detailed Timeline'!$I6="",'Detailed Timeline'!$J6=""),"",IF(AND(13&gt;='Detailed Timeline'!$I6,13&lt;='Detailed Timeline'!$J6),"■",""))</f>
        <v/>
      </c>
      <c r="Q16" s="23">
        <f>IF(OR('Detailed Timeline'!$I6="",'Detailed Timeline'!$J6=""),"",IF(AND(14&gt;='Detailed Timeline'!$I6,14&lt;='Detailed Timeline'!$J6),"■",""))</f>
        <v/>
      </c>
      <c r="R16" s="23">
        <f>IF(OR('Detailed Timeline'!$I6="",'Detailed Timeline'!$J6=""),"",IF(AND(15&gt;='Detailed Timeline'!$I6,15&lt;='Detailed Timeline'!$J6),"■",""))</f>
        <v/>
      </c>
      <c r="S16" s="23">
        <f>IF(OR('Detailed Timeline'!$I6="",'Detailed Timeline'!$J6=""),"",IF(AND(16&gt;='Detailed Timeline'!$I6,16&lt;='Detailed Timeline'!$J6),"■",""))</f>
        <v/>
      </c>
      <c r="T16" s="23">
        <f>IF(OR('Detailed Timeline'!$I6="",'Detailed Timeline'!$J6=""),"",IF(AND(17&gt;='Detailed Timeline'!$I6,17&lt;='Detailed Timeline'!$J6),"■",""))</f>
        <v/>
      </c>
      <c r="U16" s="23">
        <f>IF(OR('Detailed Timeline'!$I6="",'Detailed Timeline'!$J6=""),"",IF(AND(18&gt;='Detailed Timeline'!$I6,18&lt;='Detailed Timeline'!$J6),"■",""))</f>
        <v/>
      </c>
      <c r="V16" s="23">
        <f>IF(OR('Detailed Timeline'!$I6="",'Detailed Timeline'!$J6=""),"",IF(AND(19&gt;='Detailed Timeline'!$I6,19&lt;='Detailed Timeline'!$J6),"■",""))</f>
        <v/>
      </c>
      <c r="W16" s="23">
        <f>IF(OR('Detailed Timeline'!$I6="",'Detailed Timeline'!$J6=""),"",IF(AND(20&gt;='Detailed Timeline'!$I6,20&lt;='Detailed Timeline'!$J6),"■",""))</f>
        <v/>
      </c>
      <c r="X16" s="23">
        <f>IF(OR('Detailed Timeline'!$I6="",'Detailed Timeline'!$J6=""),"",IF(AND(21&gt;='Detailed Timeline'!$I6,21&lt;='Detailed Timeline'!$J6),"■",""))</f>
        <v/>
      </c>
      <c r="Y16" s="23">
        <f>IF(OR('Detailed Timeline'!$I6="",'Detailed Timeline'!$J6=""),"",IF(AND(22&gt;='Detailed Timeline'!$I6,22&lt;='Detailed Timeline'!$J6),"■",""))</f>
        <v/>
      </c>
      <c r="Z16" s="23">
        <f>IF(OR('Detailed Timeline'!$I6="",'Detailed Timeline'!$J6=""),"",IF(AND(23&gt;='Detailed Timeline'!$I6,23&lt;='Detailed Timeline'!$J6),"■",""))</f>
        <v/>
      </c>
      <c r="AA16" s="23">
        <f>IF(OR('Detailed Timeline'!$I6="",'Detailed Timeline'!$J6=""),"",IF(AND(24&gt;='Detailed Timeline'!$I6,24&lt;='Detailed Timeline'!$J6),"■",""))</f>
        <v/>
      </c>
      <c r="AB16" s="23">
        <f>IF(OR('Detailed Timeline'!$I6="",'Detailed Timeline'!$J6=""),"",IF(AND(25&gt;='Detailed Timeline'!$I6,25&lt;='Detailed Timeline'!$J6),"■",""))</f>
        <v/>
      </c>
      <c r="AC16" s="23">
        <f>IF(OR('Detailed Timeline'!$I6="",'Detailed Timeline'!$J6=""),"",IF(AND(26&gt;='Detailed Timeline'!$I6,26&lt;='Detailed Timeline'!$J6),"■",""))</f>
        <v/>
      </c>
    </row>
    <row r="17" ht="16.4" customHeight="1" s="13">
      <c r="A17" s="12">
        <f>'Detailed Timeline'!A9</f>
        <v/>
      </c>
      <c r="B17" s="12">
        <f>'Detailed Timeline'!B9</f>
        <v/>
      </c>
      <c r="C17" s="12">
        <f>'Detailed Timeline'!C9</f>
        <v/>
      </c>
      <c r="D17" s="23">
        <f>IF(OR('Detailed Timeline'!$I9="",'Detailed Timeline'!$J9=""),"",IF(AND(1&gt;='Detailed Timeline'!$I9,1&lt;='Detailed Timeline'!$J9),"■",""))</f>
        <v/>
      </c>
      <c r="E17" s="23">
        <f>IF(OR('Detailed Timeline'!$I9="",'Detailed Timeline'!$J9=""),"",IF(AND(2&gt;='Detailed Timeline'!$I9,2&lt;='Detailed Timeline'!$J9),"■",""))</f>
        <v/>
      </c>
      <c r="F17" s="23">
        <f>IF(OR('Detailed Timeline'!$I9="",'Detailed Timeline'!$J9=""),"",IF(AND(3&gt;='Detailed Timeline'!$I9,3&lt;='Detailed Timeline'!$J9),"■",""))</f>
        <v/>
      </c>
      <c r="G17" s="23">
        <f>IF(OR('Detailed Timeline'!$I9="",'Detailed Timeline'!$J9=""),"",IF(AND(4&gt;='Detailed Timeline'!$I9,4&lt;='Detailed Timeline'!$J9),"■",""))</f>
        <v/>
      </c>
      <c r="H17" s="23">
        <f>IF(OR('Detailed Timeline'!$I9="",'Detailed Timeline'!$J9=""),"",IF(AND(5&gt;='Detailed Timeline'!$I9,5&lt;='Detailed Timeline'!$J9),"■",""))</f>
        <v/>
      </c>
      <c r="I17" s="23">
        <f>IF(OR('Detailed Timeline'!$I9="",'Detailed Timeline'!$J9=""),"",IF(AND(6&gt;='Detailed Timeline'!$I9,6&lt;='Detailed Timeline'!$J9),"■",""))</f>
        <v/>
      </c>
      <c r="J17" s="23">
        <f>IF(OR('Detailed Timeline'!$I9="",'Detailed Timeline'!$J9=""),"",IF(AND(7&gt;='Detailed Timeline'!$I9,7&lt;='Detailed Timeline'!$J9),"■",""))</f>
        <v/>
      </c>
      <c r="K17" s="23">
        <f>IF(OR('Detailed Timeline'!$I9="",'Detailed Timeline'!$J9=""),"",IF(AND(8&gt;='Detailed Timeline'!$I9,8&lt;='Detailed Timeline'!$J9),"■",""))</f>
        <v/>
      </c>
      <c r="L17" s="23">
        <f>IF(OR('Detailed Timeline'!$I9="",'Detailed Timeline'!$J9=""),"",IF(AND(9&gt;='Detailed Timeline'!$I9,9&lt;='Detailed Timeline'!$J9),"■",""))</f>
        <v/>
      </c>
      <c r="M17" s="23">
        <f>IF(OR('Detailed Timeline'!$I9="",'Detailed Timeline'!$J9=""),"",IF(AND(10&gt;='Detailed Timeline'!$I9,10&lt;='Detailed Timeline'!$J9),"■",""))</f>
        <v/>
      </c>
      <c r="N17" s="23">
        <f>IF(OR('Detailed Timeline'!$I9="",'Detailed Timeline'!$J9=""),"",IF(AND(11&gt;='Detailed Timeline'!$I9,11&lt;='Detailed Timeline'!$J9),"■",""))</f>
        <v/>
      </c>
      <c r="O17" s="23">
        <f>IF(OR('Detailed Timeline'!$I9="",'Detailed Timeline'!$J9=""),"",IF(AND(12&gt;='Detailed Timeline'!$I9,12&lt;='Detailed Timeline'!$J9),"■",""))</f>
        <v/>
      </c>
      <c r="P17" s="23">
        <f>IF(OR('Detailed Timeline'!$I9="",'Detailed Timeline'!$J9=""),"",IF(AND(13&gt;='Detailed Timeline'!$I9,13&lt;='Detailed Timeline'!$J9),"■",""))</f>
        <v/>
      </c>
      <c r="Q17" s="23">
        <f>IF(OR('Detailed Timeline'!$I9="",'Detailed Timeline'!$J9=""),"",IF(AND(14&gt;='Detailed Timeline'!$I9,14&lt;='Detailed Timeline'!$J9),"■",""))</f>
        <v/>
      </c>
      <c r="R17" s="23">
        <f>IF(OR('Detailed Timeline'!$I9="",'Detailed Timeline'!$J9=""),"",IF(AND(15&gt;='Detailed Timeline'!$I9,15&lt;='Detailed Timeline'!$J9),"■",""))</f>
        <v/>
      </c>
      <c r="S17" s="23">
        <f>IF(OR('Detailed Timeline'!$I9="",'Detailed Timeline'!$J9=""),"",IF(AND(16&gt;='Detailed Timeline'!$I9,16&lt;='Detailed Timeline'!$J9),"■",""))</f>
        <v/>
      </c>
      <c r="T17" s="23">
        <f>IF(OR('Detailed Timeline'!$I9="",'Detailed Timeline'!$J9=""),"",IF(AND(17&gt;='Detailed Timeline'!$I9,17&lt;='Detailed Timeline'!$J9),"■",""))</f>
        <v/>
      </c>
      <c r="U17" s="23">
        <f>IF(OR('Detailed Timeline'!$I9="",'Detailed Timeline'!$J9=""),"",IF(AND(18&gt;='Detailed Timeline'!$I9,18&lt;='Detailed Timeline'!$J9),"■",""))</f>
        <v/>
      </c>
      <c r="V17" s="23">
        <f>IF(OR('Detailed Timeline'!$I9="",'Detailed Timeline'!$J9=""),"",IF(AND(19&gt;='Detailed Timeline'!$I9,19&lt;='Detailed Timeline'!$J9),"■",""))</f>
        <v/>
      </c>
      <c r="W17" s="23">
        <f>IF(OR('Detailed Timeline'!$I9="",'Detailed Timeline'!$J9=""),"",IF(AND(20&gt;='Detailed Timeline'!$I9,20&lt;='Detailed Timeline'!$J9),"■",""))</f>
        <v/>
      </c>
      <c r="X17" s="23">
        <f>IF(OR('Detailed Timeline'!$I9="",'Detailed Timeline'!$J9=""),"",IF(AND(21&gt;='Detailed Timeline'!$I9,21&lt;='Detailed Timeline'!$J9),"■",""))</f>
        <v/>
      </c>
      <c r="Y17" s="23">
        <f>IF(OR('Detailed Timeline'!$I9="",'Detailed Timeline'!$J9=""),"",IF(AND(22&gt;='Detailed Timeline'!$I9,22&lt;='Detailed Timeline'!$J9),"■",""))</f>
        <v/>
      </c>
      <c r="Z17" s="23">
        <f>IF(OR('Detailed Timeline'!$I9="",'Detailed Timeline'!$J9=""),"",IF(AND(23&gt;='Detailed Timeline'!$I9,23&lt;='Detailed Timeline'!$J9),"■",""))</f>
        <v/>
      </c>
      <c r="AA17" s="23">
        <f>IF(OR('Detailed Timeline'!$I9="",'Detailed Timeline'!$J9=""),"",IF(AND(24&gt;='Detailed Timeline'!$I9,24&lt;='Detailed Timeline'!$J9),"■",""))</f>
        <v/>
      </c>
      <c r="AB17" s="23">
        <f>IF(OR('Detailed Timeline'!$I9="",'Detailed Timeline'!$J9=""),"",IF(AND(25&gt;='Detailed Timeline'!$I9,25&lt;='Detailed Timeline'!$J9),"■",""))</f>
        <v/>
      </c>
      <c r="AC17" s="23">
        <f>IF(OR('Detailed Timeline'!$I9="",'Detailed Timeline'!$J9=""),"",IF(AND(26&gt;='Detailed Timeline'!$I9,26&lt;='Detailed Timeline'!$J9),"■",""))</f>
        <v/>
      </c>
    </row>
    <row r="18" ht="16.4" customHeight="1" s="13">
      <c r="A18" s="12">
        <f>'Detailed Timeline'!A10</f>
        <v/>
      </c>
      <c r="B18" s="12">
        <f>'Detailed Timeline'!B10</f>
        <v/>
      </c>
      <c r="C18" s="12">
        <f>'Detailed Timeline'!C10</f>
        <v/>
      </c>
      <c r="D18" s="23">
        <f>IF(OR('Detailed Timeline'!$I10="",'Detailed Timeline'!$J10=""),"",IF(AND(1&gt;='Detailed Timeline'!$I10,1&lt;='Detailed Timeline'!$J10),"■",""))</f>
        <v/>
      </c>
      <c r="E18" s="23">
        <f>IF(OR('Detailed Timeline'!$I10="",'Detailed Timeline'!$J10=""),"",IF(AND(2&gt;='Detailed Timeline'!$I10,2&lt;='Detailed Timeline'!$J10),"■",""))</f>
        <v/>
      </c>
      <c r="F18" s="23">
        <f>IF(OR('Detailed Timeline'!$I10="",'Detailed Timeline'!$J10=""),"",IF(AND(3&gt;='Detailed Timeline'!$I10,3&lt;='Detailed Timeline'!$J10),"■",""))</f>
        <v/>
      </c>
      <c r="G18" s="23">
        <f>IF(OR('Detailed Timeline'!$I10="",'Detailed Timeline'!$J10=""),"",IF(AND(4&gt;='Detailed Timeline'!$I10,4&lt;='Detailed Timeline'!$J10),"■",""))</f>
        <v/>
      </c>
      <c r="H18" s="23">
        <f>IF(OR('Detailed Timeline'!$I10="",'Detailed Timeline'!$J10=""),"",IF(AND(5&gt;='Detailed Timeline'!$I10,5&lt;='Detailed Timeline'!$J10),"■",""))</f>
        <v/>
      </c>
      <c r="I18" s="23">
        <f>IF(OR('Detailed Timeline'!$I10="",'Detailed Timeline'!$J10=""),"",IF(AND(6&gt;='Detailed Timeline'!$I10,6&lt;='Detailed Timeline'!$J10),"■",""))</f>
        <v/>
      </c>
      <c r="J18" s="23">
        <f>IF(OR('Detailed Timeline'!$I10="",'Detailed Timeline'!$J10=""),"",IF(AND(7&gt;='Detailed Timeline'!$I10,7&lt;='Detailed Timeline'!$J10),"■",""))</f>
        <v/>
      </c>
      <c r="K18" s="23">
        <f>IF(OR('Detailed Timeline'!$I10="",'Detailed Timeline'!$J10=""),"",IF(AND(8&gt;='Detailed Timeline'!$I10,8&lt;='Detailed Timeline'!$J10),"■",""))</f>
        <v/>
      </c>
      <c r="L18" s="23">
        <f>IF(OR('Detailed Timeline'!$I10="",'Detailed Timeline'!$J10=""),"",IF(AND(9&gt;='Detailed Timeline'!$I10,9&lt;='Detailed Timeline'!$J10),"■",""))</f>
        <v/>
      </c>
      <c r="M18" s="23">
        <f>IF(OR('Detailed Timeline'!$I10="",'Detailed Timeline'!$J10=""),"",IF(AND(10&gt;='Detailed Timeline'!$I10,10&lt;='Detailed Timeline'!$J10),"■",""))</f>
        <v/>
      </c>
      <c r="N18" s="23">
        <f>IF(OR('Detailed Timeline'!$I10="",'Detailed Timeline'!$J10=""),"",IF(AND(11&gt;='Detailed Timeline'!$I10,11&lt;='Detailed Timeline'!$J10),"■",""))</f>
        <v/>
      </c>
      <c r="O18" s="23">
        <f>IF(OR('Detailed Timeline'!$I10="",'Detailed Timeline'!$J10=""),"",IF(AND(12&gt;='Detailed Timeline'!$I10,12&lt;='Detailed Timeline'!$J10),"■",""))</f>
        <v/>
      </c>
      <c r="P18" s="23">
        <f>IF(OR('Detailed Timeline'!$I10="",'Detailed Timeline'!$J10=""),"",IF(AND(13&gt;='Detailed Timeline'!$I10,13&lt;='Detailed Timeline'!$J10),"■",""))</f>
        <v/>
      </c>
      <c r="Q18" s="23">
        <f>IF(OR('Detailed Timeline'!$I10="",'Detailed Timeline'!$J10=""),"",IF(AND(14&gt;='Detailed Timeline'!$I10,14&lt;='Detailed Timeline'!$J10),"■",""))</f>
        <v/>
      </c>
      <c r="R18" s="23">
        <f>IF(OR('Detailed Timeline'!$I10="",'Detailed Timeline'!$J10=""),"",IF(AND(15&gt;='Detailed Timeline'!$I10,15&lt;='Detailed Timeline'!$J10),"■",""))</f>
        <v/>
      </c>
      <c r="S18" s="23">
        <f>IF(OR('Detailed Timeline'!$I10="",'Detailed Timeline'!$J10=""),"",IF(AND(16&gt;='Detailed Timeline'!$I10,16&lt;='Detailed Timeline'!$J10),"■",""))</f>
        <v/>
      </c>
      <c r="T18" s="23">
        <f>IF(OR('Detailed Timeline'!$I10="",'Detailed Timeline'!$J10=""),"",IF(AND(17&gt;='Detailed Timeline'!$I10,17&lt;='Detailed Timeline'!$J10),"■",""))</f>
        <v/>
      </c>
      <c r="U18" s="23">
        <f>IF(OR('Detailed Timeline'!$I10="",'Detailed Timeline'!$J10=""),"",IF(AND(18&gt;='Detailed Timeline'!$I10,18&lt;='Detailed Timeline'!$J10),"■",""))</f>
        <v/>
      </c>
      <c r="V18" s="23">
        <f>IF(OR('Detailed Timeline'!$I10="",'Detailed Timeline'!$J10=""),"",IF(AND(19&gt;='Detailed Timeline'!$I10,19&lt;='Detailed Timeline'!$J10),"■",""))</f>
        <v/>
      </c>
      <c r="W18" s="23">
        <f>IF(OR('Detailed Timeline'!$I10="",'Detailed Timeline'!$J10=""),"",IF(AND(20&gt;='Detailed Timeline'!$I10,20&lt;='Detailed Timeline'!$J10),"■",""))</f>
        <v/>
      </c>
      <c r="X18" s="23">
        <f>IF(OR('Detailed Timeline'!$I10="",'Detailed Timeline'!$J10=""),"",IF(AND(21&gt;='Detailed Timeline'!$I10,21&lt;='Detailed Timeline'!$J10),"■",""))</f>
        <v/>
      </c>
      <c r="Y18" s="23">
        <f>IF(OR('Detailed Timeline'!$I10="",'Detailed Timeline'!$J10=""),"",IF(AND(22&gt;='Detailed Timeline'!$I10,22&lt;='Detailed Timeline'!$J10),"■",""))</f>
        <v/>
      </c>
      <c r="Z18" s="23">
        <f>IF(OR('Detailed Timeline'!$I10="",'Detailed Timeline'!$J10=""),"",IF(AND(23&gt;='Detailed Timeline'!$I10,23&lt;='Detailed Timeline'!$J10),"■",""))</f>
        <v/>
      </c>
      <c r="AA18" s="23">
        <f>IF(OR('Detailed Timeline'!$I10="",'Detailed Timeline'!$J10=""),"",IF(AND(24&gt;='Detailed Timeline'!$I10,24&lt;='Detailed Timeline'!$J10),"■",""))</f>
        <v/>
      </c>
      <c r="AB18" s="23">
        <f>IF(OR('Detailed Timeline'!$I10="",'Detailed Timeline'!$J10=""),"",IF(AND(25&gt;='Detailed Timeline'!$I10,25&lt;='Detailed Timeline'!$J10),"■",""))</f>
        <v/>
      </c>
      <c r="AC18" s="23">
        <f>IF(OR('Detailed Timeline'!$I10="",'Detailed Timeline'!$J10=""),"",IF(AND(26&gt;='Detailed Timeline'!$I10,26&lt;='Detailed Timeline'!$J10),"■",""))</f>
        <v/>
      </c>
    </row>
    <row r="19" ht="16.4" customHeight="1" s="13">
      <c r="A19" s="12">
        <f>'Detailed Timeline'!A18</f>
        <v/>
      </c>
      <c r="B19" s="12">
        <f>'Detailed Timeline'!B18</f>
        <v/>
      </c>
      <c r="C19" s="12">
        <f>'Detailed Timeline'!C18</f>
        <v/>
      </c>
      <c r="D19" s="23">
        <f>IF(OR('Detailed Timeline'!$I18="",'Detailed Timeline'!$J18=""),"",IF(AND(1&gt;='Detailed Timeline'!$I18,1&lt;='Detailed Timeline'!$J18),"■",""))</f>
        <v/>
      </c>
      <c r="E19" s="23">
        <f>IF(OR('Detailed Timeline'!$I18="",'Detailed Timeline'!$J18=""),"",IF(AND(2&gt;='Detailed Timeline'!$I18,2&lt;='Detailed Timeline'!$J18),"■",""))</f>
        <v/>
      </c>
      <c r="F19" s="23">
        <f>IF(OR('Detailed Timeline'!$I18="",'Detailed Timeline'!$J18=""),"",IF(AND(3&gt;='Detailed Timeline'!$I18,3&lt;='Detailed Timeline'!$J18),"■",""))</f>
        <v/>
      </c>
      <c r="G19" s="23">
        <f>IF(OR('Detailed Timeline'!$I18="",'Detailed Timeline'!$J18=""),"",IF(AND(4&gt;='Detailed Timeline'!$I18,4&lt;='Detailed Timeline'!$J18),"■",""))</f>
        <v/>
      </c>
      <c r="H19" s="23">
        <f>IF(OR('Detailed Timeline'!$I18="",'Detailed Timeline'!$J18=""),"",IF(AND(5&gt;='Detailed Timeline'!$I18,5&lt;='Detailed Timeline'!$J18),"■",""))</f>
        <v/>
      </c>
      <c r="I19" s="23">
        <f>IF(OR('Detailed Timeline'!$I18="",'Detailed Timeline'!$J18=""),"",IF(AND(6&gt;='Detailed Timeline'!$I18,6&lt;='Detailed Timeline'!$J18),"■",""))</f>
        <v/>
      </c>
      <c r="J19" s="23">
        <f>IF(OR('Detailed Timeline'!$I18="",'Detailed Timeline'!$J18=""),"",IF(AND(7&gt;='Detailed Timeline'!$I18,7&lt;='Detailed Timeline'!$J18),"■",""))</f>
        <v/>
      </c>
      <c r="K19" s="23">
        <f>IF(OR('Detailed Timeline'!$I18="",'Detailed Timeline'!$J18=""),"",IF(AND(8&gt;='Detailed Timeline'!$I18,8&lt;='Detailed Timeline'!$J18),"■",""))</f>
        <v/>
      </c>
      <c r="L19" s="23">
        <f>IF(OR('Detailed Timeline'!$I18="",'Detailed Timeline'!$J18=""),"",IF(AND(9&gt;='Detailed Timeline'!$I18,9&lt;='Detailed Timeline'!$J18),"■",""))</f>
        <v/>
      </c>
      <c r="M19" s="23">
        <f>IF(OR('Detailed Timeline'!$I18="",'Detailed Timeline'!$J18=""),"",IF(AND(10&gt;='Detailed Timeline'!$I18,10&lt;='Detailed Timeline'!$J18),"■",""))</f>
        <v/>
      </c>
      <c r="N19" s="23">
        <f>IF(OR('Detailed Timeline'!$I18="",'Detailed Timeline'!$J18=""),"",IF(AND(11&gt;='Detailed Timeline'!$I18,11&lt;='Detailed Timeline'!$J18),"■",""))</f>
        <v/>
      </c>
      <c r="O19" s="23">
        <f>IF(OR('Detailed Timeline'!$I18="",'Detailed Timeline'!$J18=""),"",IF(AND(12&gt;='Detailed Timeline'!$I18,12&lt;='Detailed Timeline'!$J18),"■",""))</f>
        <v/>
      </c>
      <c r="P19" s="23">
        <f>IF(OR('Detailed Timeline'!$I18="",'Detailed Timeline'!$J18=""),"",IF(AND(13&gt;='Detailed Timeline'!$I18,13&lt;='Detailed Timeline'!$J18),"■",""))</f>
        <v/>
      </c>
      <c r="Q19" s="23">
        <f>IF(OR('Detailed Timeline'!$I18="",'Detailed Timeline'!$J18=""),"",IF(AND(14&gt;='Detailed Timeline'!$I18,14&lt;='Detailed Timeline'!$J18),"■",""))</f>
        <v/>
      </c>
      <c r="R19" s="23">
        <f>IF(OR('Detailed Timeline'!$I18="",'Detailed Timeline'!$J18=""),"",IF(AND(15&gt;='Detailed Timeline'!$I18,15&lt;='Detailed Timeline'!$J18),"■",""))</f>
        <v/>
      </c>
      <c r="S19" s="23">
        <f>IF(OR('Detailed Timeline'!$I18="",'Detailed Timeline'!$J18=""),"",IF(AND(16&gt;='Detailed Timeline'!$I18,16&lt;='Detailed Timeline'!$J18),"■",""))</f>
        <v/>
      </c>
      <c r="T19" s="23">
        <f>IF(OR('Detailed Timeline'!$I18="",'Detailed Timeline'!$J18=""),"",IF(AND(17&gt;='Detailed Timeline'!$I18,17&lt;='Detailed Timeline'!$J18),"■",""))</f>
        <v/>
      </c>
      <c r="U19" s="23">
        <f>IF(OR('Detailed Timeline'!$I18="",'Detailed Timeline'!$J18=""),"",IF(AND(18&gt;='Detailed Timeline'!$I18,18&lt;='Detailed Timeline'!$J18),"■",""))</f>
        <v/>
      </c>
      <c r="V19" s="23">
        <f>IF(OR('Detailed Timeline'!$I18="",'Detailed Timeline'!$J18=""),"",IF(AND(19&gt;='Detailed Timeline'!$I18,19&lt;='Detailed Timeline'!$J18),"■",""))</f>
        <v/>
      </c>
      <c r="W19" s="23">
        <f>IF(OR('Detailed Timeline'!$I18="",'Detailed Timeline'!$J18=""),"",IF(AND(20&gt;='Detailed Timeline'!$I18,20&lt;='Detailed Timeline'!$J18),"■",""))</f>
        <v/>
      </c>
      <c r="X19" s="23">
        <f>IF(OR('Detailed Timeline'!$I18="",'Detailed Timeline'!$J18=""),"",IF(AND(21&gt;='Detailed Timeline'!$I18,21&lt;='Detailed Timeline'!$J18),"■",""))</f>
        <v/>
      </c>
      <c r="Y19" s="23">
        <f>IF(OR('Detailed Timeline'!$I18="",'Detailed Timeline'!$J18=""),"",IF(AND(22&gt;='Detailed Timeline'!$I18,22&lt;='Detailed Timeline'!$J18),"■",""))</f>
        <v/>
      </c>
      <c r="Z19" s="23">
        <f>IF(OR('Detailed Timeline'!$I18="",'Detailed Timeline'!$J18=""),"",IF(AND(23&gt;='Detailed Timeline'!$I18,23&lt;='Detailed Timeline'!$J18),"■",""))</f>
        <v/>
      </c>
      <c r="AA19" s="23">
        <f>IF(OR('Detailed Timeline'!$I18="",'Detailed Timeline'!$J18=""),"",IF(AND(24&gt;='Detailed Timeline'!$I18,24&lt;='Detailed Timeline'!$J18),"■",""))</f>
        <v/>
      </c>
      <c r="AB19" s="23">
        <f>IF(OR('Detailed Timeline'!$I18="",'Detailed Timeline'!$J18=""),"",IF(AND(25&gt;='Detailed Timeline'!$I18,25&lt;='Detailed Timeline'!$J18),"■",""))</f>
        <v/>
      </c>
      <c r="AC19" s="23">
        <f>IF(OR('Detailed Timeline'!$I18="",'Detailed Timeline'!$J18=""),"",IF(AND(26&gt;='Detailed Timeline'!$I18,26&lt;='Detailed Timeline'!$J18),"■",""))</f>
        <v/>
      </c>
    </row>
    <row r="20" ht="16.4" customHeight="1" s="13">
      <c r="A20" s="12">
        <f>'Detailed Timeline'!A19</f>
        <v/>
      </c>
      <c r="B20" s="12">
        <f>'Detailed Timeline'!B19</f>
        <v/>
      </c>
      <c r="C20" s="12">
        <f>'Detailed Timeline'!C19</f>
        <v/>
      </c>
      <c r="D20" s="23">
        <f>IF(OR('Detailed Timeline'!$I19="",'Detailed Timeline'!$J19=""),"",IF(AND(1&gt;='Detailed Timeline'!$I19,1&lt;='Detailed Timeline'!$J19),"■",""))</f>
        <v/>
      </c>
      <c r="E20" s="23">
        <f>IF(OR('Detailed Timeline'!$I19="",'Detailed Timeline'!$J19=""),"",IF(AND(2&gt;='Detailed Timeline'!$I19,2&lt;='Detailed Timeline'!$J19),"■",""))</f>
        <v/>
      </c>
      <c r="F20" s="23">
        <f>IF(OR('Detailed Timeline'!$I19="",'Detailed Timeline'!$J19=""),"",IF(AND(3&gt;='Detailed Timeline'!$I19,3&lt;='Detailed Timeline'!$J19),"■",""))</f>
        <v/>
      </c>
      <c r="G20" s="23">
        <f>IF(OR('Detailed Timeline'!$I19="",'Detailed Timeline'!$J19=""),"",IF(AND(4&gt;='Detailed Timeline'!$I19,4&lt;='Detailed Timeline'!$J19),"■",""))</f>
        <v/>
      </c>
      <c r="H20" s="23">
        <f>IF(OR('Detailed Timeline'!$I19="",'Detailed Timeline'!$J19=""),"",IF(AND(5&gt;='Detailed Timeline'!$I19,5&lt;='Detailed Timeline'!$J19),"■",""))</f>
        <v/>
      </c>
      <c r="I20" s="23">
        <f>IF(OR('Detailed Timeline'!$I19="",'Detailed Timeline'!$J19=""),"",IF(AND(6&gt;='Detailed Timeline'!$I19,6&lt;='Detailed Timeline'!$J19),"■",""))</f>
        <v/>
      </c>
      <c r="J20" s="23">
        <f>IF(OR('Detailed Timeline'!$I19="",'Detailed Timeline'!$J19=""),"",IF(AND(7&gt;='Detailed Timeline'!$I19,7&lt;='Detailed Timeline'!$J19),"■",""))</f>
        <v/>
      </c>
      <c r="K20" s="23">
        <f>IF(OR('Detailed Timeline'!$I19="",'Detailed Timeline'!$J19=""),"",IF(AND(8&gt;='Detailed Timeline'!$I19,8&lt;='Detailed Timeline'!$J19),"■",""))</f>
        <v/>
      </c>
      <c r="L20" s="23">
        <f>IF(OR('Detailed Timeline'!$I19="",'Detailed Timeline'!$J19=""),"",IF(AND(9&gt;='Detailed Timeline'!$I19,9&lt;='Detailed Timeline'!$J19),"■",""))</f>
        <v/>
      </c>
      <c r="M20" s="23">
        <f>IF(OR('Detailed Timeline'!$I19="",'Detailed Timeline'!$J19=""),"",IF(AND(10&gt;='Detailed Timeline'!$I19,10&lt;='Detailed Timeline'!$J19),"■",""))</f>
        <v/>
      </c>
      <c r="N20" s="23">
        <f>IF(OR('Detailed Timeline'!$I19="",'Detailed Timeline'!$J19=""),"",IF(AND(11&gt;='Detailed Timeline'!$I19,11&lt;='Detailed Timeline'!$J19),"■",""))</f>
        <v/>
      </c>
      <c r="O20" s="23">
        <f>IF(OR('Detailed Timeline'!$I19="",'Detailed Timeline'!$J19=""),"",IF(AND(12&gt;='Detailed Timeline'!$I19,12&lt;='Detailed Timeline'!$J19),"■",""))</f>
        <v/>
      </c>
      <c r="P20" s="23">
        <f>IF(OR('Detailed Timeline'!$I19="",'Detailed Timeline'!$J19=""),"",IF(AND(13&gt;='Detailed Timeline'!$I19,13&lt;='Detailed Timeline'!$J19),"■",""))</f>
        <v/>
      </c>
      <c r="Q20" s="23">
        <f>IF(OR('Detailed Timeline'!$I19="",'Detailed Timeline'!$J19=""),"",IF(AND(14&gt;='Detailed Timeline'!$I19,14&lt;='Detailed Timeline'!$J19),"■",""))</f>
        <v/>
      </c>
      <c r="R20" s="23">
        <f>IF(OR('Detailed Timeline'!$I19="",'Detailed Timeline'!$J19=""),"",IF(AND(15&gt;='Detailed Timeline'!$I19,15&lt;='Detailed Timeline'!$J19),"■",""))</f>
        <v/>
      </c>
      <c r="S20" s="23">
        <f>IF(OR('Detailed Timeline'!$I19="",'Detailed Timeline'!$J19=""),"",IF(AND(16&gt;='Detailed Timeline'!$I19,16&lt;='Detailed Timeline'!$J19),"■",""))</f>
        <v/>
      </c>
      <c r="T20" s="23">
        <f>IF(OR('Detailed Timeline'!$I19="",'Detailed Timeline'!$J19=""),"",IF(AND(17&gt;='Detailed Timeline'!$I19,17&lt;='Detailed Timeline'!$J19),"■",""))</f>
        <v/>
      </c>
      <c r="U20" s="23">
        <f>IF(OR('Detailed Timeline'!$I19="",'Detailed Timeline'!$J19=""),"",IF(AND(18&gt;='Detailed Timeline'!$I19,18&lt;='Detailed Timeline'!$J19),"■",""))</f>
        <v/>
      </c>
      <c r="V20" s="23">
        <f>IF(OR('Detailed Timeline'!$I19="",'Detailed Timeline'!$J19=""),"",IF(AND(19&gt;='Detailed Timeline'!$I19,19&lt;='Detailed Timeline'!$J19),"■",""))</f>
        <v/>
      </c>
      <c r="W20" s="23">
        <f>IF(OR('Detailed Timeline'!$I19="",'Detailed Timeline'!$J19=""),"",IF(AND(20&gt;='Detailed Timeline'!$I19,20&lt;='Detailed Timeline'!$J19),"■",""))</f>
        <v/>
      </c>
      <c r="X20" s="23">
        <f>IF(OR('Detailed Timeline'!$I19="",'Detailed Timeline'!$J19=""),"",IF(AND(21&gt;='Detailed Timeline'!$I19,21&lt;='Detailed Timeline'!$J19),"■",""))</f>
        <v/>
      </c>
      <c r="Y20" s="23">
        <f>IF(OR('Detailed Timeline'!$I19="",'Detailed Timeline'!$J19=""),"",IF(AND(22&gt;='Detailed Timeline'!$I19,22&lt;='Detailed Timeline'!$J19),"■",""))</f>
        <v/>
      </c>
      <c r="Z20" s="23">
        <f>IF(OR('Detailed Timeline'!$I19="",'Detailed Timeline'!$J19=""),"",IF(AND(23&gt;='Detailed Timeline'!$I19,23&lt;='Detailed Timeline'!$J19),"■",""))</f>
        <v/>
      </c>
      <c r="AA20" s="23">
        <f>IF(OR('Detailed Timeline'!$I19="",'Detailed Timeline'!$J19=""),"",IF(AND(24&gt;='Detailed Timeline'!$I19,24&lt;='Detailed Timeline'!$J19),"■",""))</f>
        <v/>
      </c>
      <c r="AB20" s="23">
        <f>IF(OR('Detailed Timeline'!$I19="",'Detailed Timeline'!$J19=""),"",IF(AND(25&gt;='Detailed Timeline'!$I19,25&lt;='Detailed Timeline'!$J19),"■",""))</f>
        <v/>
      </c>
      <c r="AC20" s="23">
        <f>IF(OR('Detailed Timeline'!$I19="",'Detailed Timeline'!$J19=""),"",IF(AND(26&gt;='Detailed Timeline'!$I19,26&lt;='Detailed Timeline'!$J19),"■",""))</f>
        <v/>
      </c>
    </row>
    <row r="21" ht="16.4" customHeight="1" s="13">
      <c r="A21" s="12">
        <f>'Detailed Timeline'!A20</f>
        <v/>
      </c>
      <c r="B21" s="12">
        <f>'Detailed Timeline'!B20</f>
        <v/>
      </c>
      <c r="C21" s="12">
        <f>'Detailed Timeline'!C20</f>
        <v/>
      </c>
      <c r="D21" s="23">
        <f>IF(OR('Detailed Timeline'!$I20="",'Detailed Timeline'!$J20=""),"",IF(AND(1&gt;='Detailed Timeline'!$I20,1&lt;='Detailed Timeline'!$J20),"■",""))</f>
        <v/>
      </c>
      <c r="E21" s="23">
        <f>IF(OR('Detailed Timeline'!$I20="",'Detailed Timeline'!$J20=""),"",IF(AND(2&gt;='Detailed Timeline'!$I20,2&lt;='Detailed Timeline'!$J20),"■",""))</f>
        <v/>
      </c>
      <c r="F21" s="23">
        <f>IF(OR('Detailed Timeline'!$I20="",'Detailed Timeline'!$J20=""),"",IF(AND(3&gt;='Detailed Timeline'!$I20,3&lt;='Detailed Timeline'!$J20),"■",""))</f>
        <v/>
      </c>
      <c r="G21" s="23">
        <f>IF(OR('Detailed Timeline'!$I20="",'Detailed Timeline'!$J20=""),"",IF(AND(4&gt;='Detailed Timeline'!$I20,4&lt;='Detailed Timeline'!$J20),"■",""))</f>
        <v/>
      </c>
      <c r="H21" s="23">
        <f>IF(OR('Detailed Timeline'!$I20="",'Detailed Timeline'!$J20=""),"",IF(AND(5&gt;='Detailed Timeline'!$I20,5&lt;='Detailed Timeline'!$J20),"■",""))</f>
        <v/>
      </c>
      <c r="I21" s="23">
        <f>IF(OR('Detailed Timeline'!$I20="",'Detailed Timeline'!$J20=""),"",IF(AND(6&gt;='Detailed Timeline'!$I20,6&lt;='Detailed Timeline'!$J20),"■",""))</f>
        <v/>
      </c>
      <c r="J21" s="23">
        <f>IF(OR('Detailed Timeline'!$I20="",'Detailed Timeline'!$J20=""),"",IF(AND(7&gt;='Detailed Timeline'!$I20,7&lt;='Detailed Timeline'!$J20),"■",""))</f>
        <v/>
      </c>
      <c r="K21" s="23">
        <f>IF(OR('Detailed Timeline'!$I20="",'Detailed Timeline'!$J20=""),"",IF(AND(8&gt;='Detailed Timeline'!$I20,8&lt;='Detailed Timeline'!$J20),"■",""))</f>
        <v/>
      </c>
      <c r="L21" s="23">
        <f>IF(OR('Detailed Timeline'!$I20="",'Detailed Timeline'!$J20=""),"",IF(AND(9&gt;='Detailed Timeline'!$I20,9&lt;='Detailed Timeline'!$J20),"■",""))</f>
        <v/>
      </c>
      <c r="M21" s="23">
        <f>IF(OR('Detailed Timeline'!$I20="",'Detailed Timeline'!$J20=""),"",IF(AND(10&gt;='Detailed Timeline'!$I20,10&lt;='Detailed Timeline'!$J20),"■",""))</f>
        <v/>
      </c>
      <c r="N21" s="23">
        <f>IF(OR('Detailed Timeline'!$I20="",'Detailed Timeline'!$J20=""),"",IF(AND(11&gt;='Detailed Timeline'!$I20,11&lt;='Detailed Timeline'!$J20),"■",""))</f>
        <v/>
      </c>
      <c r="O21" s="23">
        <f>IF(OR('Detailed Timeline'!$I20="",'Detailed Timeline'!$J20=""),"",IF(AND(12&gt;='Detailed Timeline'!$I20,12&lt;='Detailed Timeline'!$J20),"■",""))</f>
        <v/>
      </c>
      <c r="P21" s="23">
        <f>IF(OR('Detailed Timeline'!$I20="",'Detailed Timeline'!$J20=""),"",IF(AND(13&gt;='Detailed Timeline'!$I20,13&lt;='Detailed Timeline'!$J20),"■",""))</f>
        <v/>
      </c>
      <c r="Q21" s="23">
        <f>IF(OR('Detailed Timeline'!$I20="",'Detailed Timeline'!$J20=""),"",IF(AND(14&gt;='Detailed Timeline'!$I20,14&lt;='Detailed Timeline'!$J20),"■",""))</f>
        <v/>
      </c>
      <c r="R21" s="23">
        <f>IF(OR('Detailed Timeline'!$I20="",'Detailed Timeline'!$J20=""),"",IF(AND(15&gt;='Detailed Timeline'!$I20,15&lt;='Detailed Timeline'!$J20),"■",""))</f>
        <v/>
      </c>
      <c r="S21" s="23">
        <f>IF(OR('Detailed Timeline'!$I20="",'Detailed Timeline'!$J20=""),"",IF(AND(16&gt;='Detailed Timeline'!$I20,16&lt;='Detailed Timeline'!$J20),"■",""))</f>
        <v/>
      </c>
      <c r="T21" s="23">
        <f>IF(OR('Detailed Timeline'!$I20="",'Detailed Timeline'!$J20=""),"",IF(AND(17&gt;='Detailed Timeline'!$I20,17&lt;='Detailed Timeline'!$J20),"■",""))</f>
        <v/>
      </c>
      <c r="U21" s="23">
        <f>IF(OR('Detailed Timeline'!$I20="",'Detailed Timeline'!$J20=""),"",IF(AND(18&gt;='Detailed Timeline'!$I20,18&lt;='Detailed Timeline'!$J20),"■",""))</f>
        <v/>
      </c>
      <c r="V21" s="23">
        <f>IF(OR('Detailed Timeline'!$I20="",'Detailed Timeline'!$J20=""),"",IF(AND(19&gt;='Detailed Timeline'!$I20,19&lt;='Detailed Timeline'!$J20),"■",""))</f>
        <v/>
      </c>
      <c r="W21" s="23">
        <f>IF(OR('Detailed Timeline'!$I20="",'Detailed Timeline'!$J20=""),"",IF(AND(20&gt;='Detailed Timeline'!$I20,20&lt;='Detailed Timeline'!$J20),"■",""))</f>
        <v/>
      </c>
      <c r="X21" s="23">
        <f>IF(OR('Detailed Timeline'!$I20="",'Detailed Timeline'!$J20=""),"",IF(AND(21&gt;='Detailed Timeline'!$I20,21&lt;='Detailed Timeline'!$J20),"■",""))</f>
        <v/>
      </c>
      <c r="Y21" s="23">
        <f>IF(OR('Detailed Timeline'!$I20="",'Detailed Timeline'!$J20=""),"",IF(AND(22&gt;='Detailed Timeline'!$I20,22&lt;='Detailed Timeline'!$J20),"■",""))</f>
        <v/>
      </c>
      <c r="Z21" s="23">
        <f>IF(OR('Detailed Timeline'!$I20="",'Detailed Timeline'!$J20=""),"",IF(AND(23&gt;='Detailed Timeline'!$I20,23&lt;='Detailed Timeline'!$J20),"■",""))</f>
        <v/>
      </c>
      <c r="AA21" s="23">
        <f>IF(OR('Detailed Timeline'!$I20="",'Detailed Timeline'!$J20=""),"",IF(AND(24&gt;='Detailed Timeline'!$I20,24&lt;='Detailed Timeline'!$J20),"■",""))</f>
        <v/>
      </c>
      <c r="AB21" s="23">
        <f>IF(OR('Detailed Timeline'!$I20="",'Detailed Timeline'!$J20=""),"",IF(AND(25&gt;='Detailed Timeline'!$I20,25&lt;='Detailed Timeline'!$J20),"■",""))</f>
        <v/>
      </c>
      <c r="AC21" s="23">
        <f>IF(OR('Detailed Timeline'!$I20="",'Detailed Timeline'!$J20=""),"",IF(AND(26&gt;='Detailed Timeline'!$I20,26&lt;='Detailed Timeline'!$J20),"■",""))</f>
        <v/>
      </c>
    </row>
    <row r="22" ht="16.4" customHeight="1" s="13">
      <c r="A22" s="12">
        <f>'Detailed Timeline'!A21</f>
        <v/>
      </c>
      <c r="B22" s="12">
        <f>'Detailed Timeline'!B21</f>
        <v/>
      </c>
      <c r="C22" s="12">
        <f>'Detailed Timeline'!C21</f>
        <v/>
      </c>
      <c r="D22" s="23">
        <f>IF(OR('Detailed Timeline'!$I21="",'Detailed Timeline'!$J21=""),"",IF(AND(1&gt;='Detailed Timeline'!$I21,1&lt;='Detailed Timeline'!$J21),"■",""))</f>
        <v/>
      </c>
      <c r="E22" s="23">
        <f>IF(OR('Detailed Timeline'!$I21="",'Detailed Timeline'!$J21=""),"",IF(AND(2&gt;='Detailed Timeline'!$I21,2&lt;='Detailed Timeline'!$J21),"■",""))</f>
        <v/>
      </c>
      <c r="F22" s="23">
        <f>IF(OR('Detailed Timeline'!$I21="",'Detailed Timeline'!$J21=""),"",IF(AND(3&gt;='Detailed Timeline'!$I21,3&lt;='Detailed Timeline'!$J21),"■",""))</f>
        <v/>
      </c>
      <c r="G22" s="23">
        <f>IF(OR('Detailed Timeline'!$I21="",'Detailed Timeline'!$J21=""),"",IF(AND(4&gt;='Detailed Timeline'!$I21,4&lt;='Detailed Timeline'!$J21),"■",""))</f>
        <v/>
      </c>
      <c r="H22" s="23">
        <f>IF(OR('Detailed Timeline'!$I21="",'Detailed Timeline'!$J21=""),"",IF(AND(5&gt;='Detailed Timeline'!$I21,5&lt;='Detailed Timeline'!$J21),"■",""))</f>
        <v/>
      </c>
      <c r="I22" s="23">
        <f>IF(OR('Detailed Timeline'!$I21="",'Detailed Timeline'!$J21=""),"",IF(AND(6&gt;='Detailed Timeline'!$I21,6&lt;='Detailed Timeline'!$J21),"■",""))</f>
        <v/>
      </c>
      <c r="J22" s="23">
        <f>IF(OR('Detailed Timeline'!$I21="",'Detailed Timeline'!$J21=""),"",IF(AND(7&gt;='Detailed Timeline'!$I21,7&lt;='Detailed Timeline'!$J21),"■",""))</f>
        <v/>
      </c>
      <c r="K22" s="23">
        <f>IF(OR('Detailed Timeline'!$I21="",'Detailed Timeline'!$J21=""),"",IF(AND(8&gt;='Detailed Timeline'!$I21,8&lt;='Detailed Timeline'!$J21),"■",""))</f>
        <v/>
      </c>
      <c r="L22" s="23">
        <f>IF(OR('Detailed Timeline'!$I21="",'Detailed Timeline'!$J21=""),"",IF(AND(9&gt;='Detailed Timeline'!$I21,9&lt;='Detailed Timeline'!$J21),"■",""))</f>
        <v/>
      </c>
      <c r="M22" s="23">
        <f>IF(OR('Detailed Timeline'!$I21="",'Detailed Timeline'!$J21=""),"",IF(AND(10&gt;='Detailed Timeline'!$I21,10&lt;='Detailed Timeline'!$J21),"■",""))</f>
        <v/>
      </c>
      <c r="N22" s="23">
        <f>IF(OR('Detailed Timeline'!$I21="",'Detailed Timeline'!$J21=""),"",IF(AND(11&gt;='Detailed Timeline'!$I21,11&lt;='Detailed Timeline'!$J21),"■",""))</f>
        <v/>
      </c>
      <c r="O22" s="23">
        <f>IF(OR('Detailed Timeline'!$I21="",'Detailed Timeline'!$J21=""),"",IF(AND(12&gt;='Detailed Timeline'!$I21,12&lt;='Detailed Timeline'!$J21),"■",""))</f>
        <v/>
      </c>
      <c r="P22" s="23">
        <f>IF(OR('Detailed Timeline'!$I21="",'Detailed Timeline'!$J21=""),"",IF(AND(13&gt;='Detailed Timeline'!$I21,13&lt;='Detailed Timeline'!$J21),"■",""))</f>
        <v/>
      </c>
      <c r="Q22" s="23">
        <f>IF(OR('Detailed Timeline'!$I21="",'Detailed Timeline'!$J21=""),"",IF(AND(14&gt;='Detailed Timeline'!$I21,14&lt;='Detailed Timeline'!$J21),"■",""))</f>
        <v/>
      </c>
      <c r="R22" s="23">
        <f>IF(OR('Detailed Timeline'!$I21="",'Detailed Timeline'!$J21=""),"",IF(AND(15&gt;='Detailed Timeline'!$I21,15&lt;='Detailed Timeline'!$J21),"■",""))</f>
        <v/>
      </c>
      <c r="S22" s="23">
        <f>IF(OR('Detailed Timeline'!$I21="",'Detailed Timeline'!$J21=""),"",IF(AND(16&gt;='Detailed Timeline'!$I21,16&lt;='Detailed Timeline'!$J21),"■",""))</f>
        <v/>
      </c>
      <c r="T22" s="23">
        <f>IF(OR('Detailed Timeline'!$I21="",'Detailed Timeline'!$J21=""),"",IF(AND(17&gt;='Detailed Timeline'!$I21,17&lt;='Detailed Timeline'!$J21),"■",""))</f>
        <v/>
      </c>
      <c r="U22" s="23">
        <f>IF(OR('Detailed Timeline'!$I21="",'Detailed Timeline'!$J21=""),"",IF(AND(18&gt;='Detailed Timeline'!$I21,18&lt;='Detailed Timeline'!$J21),"■",""))</f>
        <v/>
      </c>
      <c r="V22" s="23">
        <f>IF(OR('Detailed Timeline'!$I21="",'Detailed Timeline'!$J21=""),"",IF(AND(19&gt;='Detailed Timeline'!$I21,19&lt;='Detailed Timeline'!$J21),"■",""))</f>
        <v/>
      </c>
      <c r="W22" s="23">
        <f>IF(OR('Detailed Timeline'!$I21="",'Detailed Timeline'!$J21=""),"",IF(AND(20&gt;='Detailed Timeline'!$I21,20&lt;='Detailed Timeline'!$J21),"■",""))</f>
        <v/>
      </c>
      <c r="X22" s="23">
        <f>IF(OR('Detailed Timeline'!$I21="",'Detailed Timeline'!$J21=""),"",IF(AND(21&gt;='Detailed Timeline'!$I21,21&lt;='Detailed Timeline'!$J21),"■",""))</f>
        <v/>
      </c>
      <c r="Y22" s="23">
        <f>IF(OR('Detailed Timeline'!$I21="",'Detailed Timeline'!$J21=""),"",IF(AND(22&gt;='Detailed Timeline'!$I21,22&lt;='Detailed Timeline'!$J21),"■",""))</f>
        <v/>
      </c>
      <c r="Z22" s="23">
        <f>IF(OR('Detailed Timeline'!$I21="",'Detailed Timeline'!$J21=""),"",IF(AND(23&gt;='Detailed Timeline'!$I21,23&lt;='Detailed Timeline'!$J21),"■",""))</f>
        <v/>
      </c>
      <c r="AA22" s="23">
        <f>IF(OR('Detailed Timeline'!$I21="",'Detailed Timeline'!$J21=""),"",IF(AND(24&gt;='Detailed Timeline'!$I21,24&lt;='Detailed Timeline'!$J21),"■",""))</f>
        <v/>
      </c>
      <c r="AB22" s="23">
        <f>IF(OR('Detailed Timeline'!$I21="",'Detailed Timeline'!$J21=""),"",IF(AND(25&gt;='Detailed Timeline'!$I21,25&lt;='Detailed Timeline'!$J21),"■",""))</f>
        <v/>
      </c>
      <c r="AC22" s="23">
        <f>IF(OR('Detailed Timeline'!$I21="",'Detailed Timeline'!$J21=""),"",IF(AND(26&gt;='Detailed Timeline'!$I21,26&lt;='Detailed Timeline'!$J21),"■",""))</f>
        <v/>
      </c>
    </row>
    <row r="23" ht="16.4" customHeight="1" s="13">
      <c r="A23" s="12">
        <f>'Detailed Timeline'!A22</f>
        <v/>
      </c>
      <c r="B23" s="12">
        <f>'Detailed Timeline'!B22</f>
        <v/>
      </c>
      <c r="C23" s="12">
        <f>'Detailed Timeline'!C22</f>
        <v/>
      </c>
      <c r="D23" s="23">
        <f>IF(OR('Detailed Timeline'!$I22="",'Detailed Timeline'!$J22=""),"",IF(AND(1&gt;='Detailed Timeline'!$I22,1&lt;='Detailed Timeline'!$J22),"■",""))</f>
        <v/>
      </c>
      <c r="E23" s="23">
        <f>IF(OR('Detailed Timeline'!$I22="",'Detailed Timeline'!$J22=""),"",IF(AND(2&gt;='Detailed Timeline'!$I22,2&lt;='Detailed Timeline'!$J22),"■",""))</f>
        <v/>
      </c>
      <c r="F23" s="23">
        <f>IF(OR('Detailed Timeline'!$I22="",'Detailed Timeline'!$J22=""),"",IF(AND(3&gt;='Detailed Timeline'!$I22,3&lt;='Detailed Timeline'!$J22),"■",""))</f>
        <v/>
      </c>
      <c r="G23" s="23">
        <f>IF(OR('Detailed Timeline'!$I22="",'Detailed Timeline'!$J22=""),"",IF(AND(4&gt;='Detailed Timeline'!$I22,4&lt;='Detailed Timeline'!$J22),"■",""))</f>
        <v/>
      </c>
      <c r="H23" s="23">
        <f>IF(OR('Detailed Timeline'!$I22="",'Detailed Timeline'!$J22=""),"",IF(AND(5&gt;='Detailed Timeline'!$I22,5&lt;='Detailed Timeline'!$J22),"■",""))</f>
        <v/>
      </c>
      <c r="I23" s="23">
        <f>IF(OR('Detailed Timeline'!$I22="",'Detailed Timeline'!$J22=""),"",IF(AND(6&gt;='Detailed Timeline'!$I22,6&lt;='Detailed Timeline'!$J22),"■",""))</f>
        <v/>
      </c>
      <c r="J23" s="23">
        <f>IF(OR('Detailed Timeline'!$I22="",'Detailed Timeline'!$J22=""),"",IF(AND(7&gt;='Detailed Timeline'!$I22,7&lt;='Detailed Timeline'!$J22),"■",""))</f>
        <v/>
      </c>
      <c r="K23" s="23">
        <f>IF(OR('Detailed Timeline'!$I22="",'Detailed Timeline'!$J22=""),"",IF(AND(8&gt;='Detailed Timeline'!$I22,8&lt;='Detailed Timeline'!$J22),"■",""))</f>
        <v/>
      </c>
      <c r="L23" s="23">
        <f>IF(OR('Detailed Timeline'!$I22="",'Detailed Timeline'!$J22=""),"",IF(AND(9&gt;='Detailed Timeline'!$I22,9&lt;='Detailed Timeline'!$J22),"■",""))</f>
        <v/>
      </c>
      <c r="M23" s="23">
        <f>IF(OR('Detailed Timeline'!$I22="",'Detailed Timeline'!$J22=""),"",IF(AND(10&gt;='Detailed Timeline'!$I22,10&lt;='Detailed Timeline'!$J22),"■",""))</f>
        <v/>
      </c>
      <c r="N23" s="23">
        <f>IF(OR('Detailed Timeline'!$I22="",'Detailed Timeline'!$J22=""),"",IF(AND(11&gt;='Detailed Timeline'!$I22,11&lt;='Detailed Timeline'!$J22),"■",""))</f>
        <v/>
      </c>
      <c r="O23" s="23">
        <f>IF(OR('Detailed Timeline'!$I22="",'Detailed Timeline'!$J22=""),"",IF(AND(12&gt;='Detailed Timeline'!$I22,12&lt;='Detailed Timeline'!$J22),"■",""))</f>
        <v/>
      </c>
      <c r="P23" s="23">
        <f>IF(OR('Detailed Timeline'!$I22="",'Detailed Timeline'!$J22=""),"",IF(AND(13&gt;='Detailed Timeline'!$I22,13&lt;='Detailed Timeline'!$J22),"■",""))</f>
        <v/>
      </c>
      <c r="Q23" s="23">
        <f>IF(OR('Detailed Timeline'!$I22="",'Detailed Timeline'!$J22=""),"",IF(AND(14&gt;='Detailed Timeline'!$I22,14&lt;='Detailed Timeline'!$J22),"■",""))</f>
        <v/>
      </c>
      <c r="R23" s="23">
        <f>IF(OR('Detailed Timeline'!$I22="",'Detailed Timeline'!$J22=""),"",IF(AND(15&gt;='Detailed Timeline'!$I22,15&lt;='Detailed Timeline'!$J22),"■",""))</f>
        <v/>
      </c>
      <c r="S23" s="23">
        <f>IF(OR('Detailed Timeline'!$I22="",'Detailed Timeline'!$J22=""),"",IF(AND(16&gt;='Detailed Timeline'!$I22,16&lt;='Detailed Timeline'!$J22),"■",""))</f>
        <v/>
      </c>
      <c r="T23" s="23">
        <f>IF(OR('Detailed Timeline'!$I22="",'Detailed Timeline'!$J22=""),"",IF(AND(17&gt;='Detailed Timeline'!$I22,17&lt;='Detailed Timeline'!$J22),"■",""))</f>
        <v/>
      </c>
      <c r="U23" s="23">
        <f>IF(OR('Detailed Timeline'!$I22="",'Detailed Timeline'!$J22=""),"",IF(AND(18&gt;='Detailed Timeline'!$I22,18&lt;='Detailed Timeline'!$J22),"■",""))</f>
        <v/>
      </c>
      <c r="V23" s="23">
        <f>IF(OR('Detailed Timeline'!$I22="",'Detailed Timeline'!$J22=""),"",IF(AND(19&gt;='Detailed Timeline'!$I22,19&lt;='Detailed Timeline'!$J22),"■",""))</f>
        <v/>
      </c>
      <c r="W23" s="23">
        <f>IF(OR('Detailed Timeline'!$I22="",'Detailed Timeline'!$J22=""),"",IF(AND(20&gt;='Detailed Timeline'!$I22,20&lt;='Detailed Timeline'!$J22),"■",""))</f>
        <v/>
      </c>
      <c r="X23" s="23">
        <f>IF(OR('Detailed Timeline'!$I22="",'Detailed Timeline'!$J22=""),"",IF(AND(21&gt;='Detailed Timeline'!$I22,21&lt;='Detailed Timeline'!$J22),"■",""))</f>
        <v/>
      </c>
      <c r="Y23" s="23">
        <f>IF(OR('Detailed Timeline'!$I22="",'Detailed Timeline'!$J22=""),"",IF(AND(22&gt;='Detailed Timeline'!$I22,22&lt;='Detailed Timeline'!$J22),"■",""))</f>
        <v/>
      </c>
      <c r="Z23" s="23">
        <f>IF(OR('Detailed Timeline'!$I22="",'Detailed Timeline'!$J22=""),"",IF(AND(23&gt;='Detailed Timeline'!$I22,23&lt;='Detailed Timeline'!$J22),"■",""))</f>
        <v/>
      </c>
      <c r="AA23" s="23">
        <f>IF(OR('Detailed Timeline'!$I22="",'Detailed Timeline'!$J22=""),"",IF(AND(24&gt;='Detailed Timeline'!$I22,24&lt;='Detailed Timeline'!$J22),"■",""))</f>
        <v/>
      </c>
      <c r="AB23" s="23">
        <f>IF(OR('Detailed Timeline'!$I22="",'Detailed Timeline'!$J22=""),"",IF(AND(25&gt;='Detailed Timeline'!$I22,25&lt;='Detailed Timeline'!$J22),"■",""))</f>
        <v/>
      </c>
      <c r="AC23" s="23">
        <f>IF(OR('Detailed Timeline'!$I22="",'Detailed Timeline'!$J22=""),"",IF(AND(26&gt;='Detailed Timeline'!$I22,26&lt;='Detailed Timeline'!$J22),"■",""))</f>
        <v/>
      </c>
    </row>
    <row r="24" ht="16.4" customHeight="1" s="13">
      <c r="A24" s="12">
        <f>'Detailed Timeline'!A23</f>
        <v/>
      </c>
      <c r="B24" s="12">
        <f>'Detailed Timeline'!B23</f>
        <v/>
      </c>
      <c r="C24" s="12">
        <f>'Detailed Timeline'!C23</f>
        <v/>
      </c>
      <c r="D24" s="23">
        <f>IF(OR('Detailed Timeline'!$I23="",'Detailed Timeline'!$J23=""),"",IF(AND(1&gt;='Detailed Timeline'!$I23,1&lt;='Detailed Timeline'!$J23),"■",""))</f>
        <v/>
      </c>
      <c r="E24" s="23">
        <f>IF(OR('Detailed Timeline'!$I23="",'Detailed Timeline'!$J23=""),"",IF(AND(2&gt;='Detailed Timeline'!$I23,2&lt;='Detailed Timeline'!$J23),"■",""))</f>
        <v/>
      </c>
      <c r="F24" s="23">
        <f>IF(OR('Detailed Timeline'!$I23="",'Detailed Timeline'!$J23=""),"",IF(AND(3&gt;='Detailed Timeline'!$I23,3&lt;='Detailed Timeline'!$J23),"■",""))</f>
        <v/>
      </c>
      <c r="G24" s="23">
        <f>IF(OR('Detailed Timeline'!$I23="",'Detailed Timeline'!$J23=""),"",IF(AND(4&gt;='Detailed Timeline'!$I23,4&lt;='Detailed Timeline'!$J23),"■",""))</f>
        <v/>
      </c>
      <c r="H24" s="23">
        <f>IF(OR('Detailed Timeline'!$I23="",'Detailed Timeline'!$J23=""),"",IF(AND(5&gt;='Detailed Timeline'!$I23,5&lt;='Detailed Timeline'!$J23),"■",""))</f>
        <v/>
      </c>
      <c r="I24" s="23">
        <f>IF(OR('Detailed Timeline'!$I23="",'Detailed Timeline'!$J23=""),"",IF(AND(6&gt;='Detailed Timeline'!$I23,6&lt;='Detailed Timeline'!$J23),"■",""))</f>
        <v/>
      </c>
      <c r="J24" s="23">
        <f>IF(OR('Detailed Timeline'!$I23="",'Detailed Timeline'!$J23=""),"",IF(AND(7&gt;='Detailed Timeline'!$I23,7&lt;='Detailed Timeline'!$J23),"■",""))</f>
        <v/>
      </c>
      <c r="K24" s="23">
        <f>IF(OR('Detailed Timeline'!$I23="",'Detailed Timeline'!$J23=""),"",IF(AND(8&gt;='Detailed Timeline'!$I23,8&lt;='Detailed Timeline'!$J23),"■",""))</f>
        <v/>
      </c>
      <c r="L24" s="23">
        <f>IF(OR('Detailed Timeline'!$I23="",'Detailed Timeline'!$J23=""),"",IF(AND(9&gt;='Detailed Timeline'!$I23,9&lt;='Detailed Timeline'!$J23),"■",""))</f>
        <v/>
      </c>
      <c r="M24" s="23">
        <f>IF(OR('Detailed Timeline'!$I23="",'Detailed Timeline'!$J23=""),"",IF(AND(10&gt;='Detailed Timeline'!$I23,10&lt;='Detailed Timeline'!$J23),"■",""))</f>
        <v/>
      </c>
      <c r="N24" s="23">
        <f>IF(OR('Detailed Timeline'!$I23="",'Detailed Timeline'!$J23=""),"",IF(AND(11&gt;='Detailed Timeline'!$I23,11&lt;='Detailed Timeline'!$J23),"■",""))</f>
        <v/>
      </c>
      <c r="O24" s="23">
        <f>IF(OR('Detailed Timeline'!$I23="",'Detailed Timeline'!$J23=""),"",IF(AND(12&gt;='Detailed Timeline'!$I23,12&lt;='Detailed Timeline'!$J23),"■",""))</f>
        <v/>
      </c>
      <c r="P24" s="23">
        <f>IF(OR('Detailed Timeline'!$I23="",'Detailed Timeline'!$J23=""),"",IF(AND(13&gt;='Detailed Timeline'!$I23,13&lt;='Detailed Timeline'!$J23),"■",""))</f>
        <v/>
      </c>
      <c r="Q24" s="23">
        <f>IF(OR('Detailed Timeline'!$I23="",'Detailed Timeline'!$J23=""),"",IF(AND(14&gt;='Detailed Timeline'!$I23,14&lt;='Detailed Timeline'!$J23),"■",""))</f>
        <v/>
      </c>
      <c r="R24" s="23">
        <f>IF(OR('Detailed Timeline'!$I23="",'Detailed Timeline'!$J23=""),"",IF(AND(15&gt;='Detailed Timeline'!$I23,15&lt;='Detailed Timeline'!$J23),"■",""))</f>
        <v/>
      </c>
      <c r="S24" s="23">
        <f>IF(OR('Detailed Timeline'!$I23="",'Detailed Timeline'!$J23=""),"",IF(AND(16&gt;='Detailed Timeline'!$I23,16&lt;='Detailed Timeline'!$J23),"■",""))</f>
        <v/>
      </c>
      <c r="T24" s="23">
        <f>IF(OR('Detailed Timeline'!$I23="",'Detailed Timeline'!$J23=""),"",IF(AND(17&gt;='Detailed Timeline'!$I23,17&lt;='Detailed Timeline'!$J23),"■",""))</f>
        <v/>
      </c>
      <c r="U24" s="23">
        <f>IF(OR('Detailed Timeline'!$I23="",'Detailed Timeline'!$J23=""),"",IF(AND(18&gt;='Detailed Timeline'!$I23,18&lt;='Detailed Timeline'!$J23),"■",""))</f>
        <v/>
      </c>
      <c r="V24" s="23">
        <f>IF(OR('Detailed Timeline'!$I23="",'Detailed Timeline'!$J23=""),"",IF(AND(19&gt;='Detailed Timeline'!$I23,19&lt;='Detailed Timeline'!$J23),"■",""))</f>
        <v/>
      </c>
      <c r="W24" s="23">
        <f>IF(OR('Detailed Timeline'!$I23="",'Detailed Timeline'!$J23=""),"",IF(AND(20&gt;='Detailed Timeline'!$I23,20&lt;='Detailed Timeline'!$J23),"■",""))</f>
        <v/>
      </c>
      <c r="X24" s="23">
        <f>IF(OR('Detailed Timeline'!$I23="",'Detailed Timeline'!$J23=""),"",IF(AND(21&gt;='Detailed Timeline'!$I23,21&lt;='Detailed Timeline'!$J23),"■",""))</f>
        <v/>
      </c>
      <c r="Y24" s="23">
        <f>IF(OR('Detailed Timeline'!$I23="",'Detailed Timeline'!$J23=""),"",IF(AND(22&gt;='Detailed Timeline'!$I23,22&lt;='Detailed Timeline'!$J23),"■",""))</f>
        <v/>
      </c>
      <c r="Z24" s="23">
        <f>IF(OR('Detailed Timeline'!$I23="",'Detailed Timeline'!$J23=""),"",IF(AND(23&gt;='Detailed Timeline'!$I23,23&lt;='Detailed Timeline'!$J23),"■",""))</f>
        <v/>
      </c>
      <c r="AA24" s="23">
        <f>IF(OR('Detailed Timeline'!$I23="",'Detailed Timeline'!$J23=""),"",IF(AND(24&gt;='Detailed Timeline'!$I23,24&lt;='Detailed Timeline'!$J23),"■",""))</f>
        <v/>
      </c>
      <c r="AB24" s="23">
        <f>IF(OR('Detailed Timeline'!$I23="",'Detailed Timeline'!$J23=""),"",IF(AND(25&gt;='Detailed Timeline'!$I23,25&lt;='Detailed Timeline'!$J23),"■",""))</f>
        <v/>
      </c>
      <c r="AC24" s="23">
        <f>IF(OR('Detailed Timeline'!$I23="",'Detailed Timeline'!$J23=""),"",IF(AND(26&gt;='Detailed Timeline'!$I23,26&lt;='Detailed Timeline'!$J23),"■",""))</f>
        <v/>
      </c>
    </row>
    <row r="25">
      <c r="A25" s="12">
        <f>'Detailed Timeline'!A25</f>
        <v/>
      </c>
      <c r="B25" s="12">
        <f>'Detailed Timeline'!B25</f>
        <v/>
      </c>
      <c r="C25" s="12">
        <f>'Detailed Timeline'!C25</f>
        <v/>
      </c>
      <c r="D25" s="12">
        <f>IF(OR('Detailed Timeline'!$I25="",'Detailed Timeline'!$J25=""),"",IF(AND(1&gt;='Detailed Timeline'!$I25,1&lt;='Detailed Timeline'!$J25),"■",""))</f>
        <v/>
      </c>
      <c r="E25" s="12">
        <f>IF(OR('Detailed Timeline'!$I25="",'Detailed Timeline'!$J25=""),"",IF(AND(2&gt;='Detailed Timeline'!$I25,2&lt;='Detailed Timeline'!$J25),"■",""))</f>
        <v/>
      </c>
      <c r="F25" s="12">
        <f>IF(OR('Detailed Timeline'!$I25="",'Detailed Timeline'!$J25=""),"",IF(AND(3&gt;='Detailed Timeline'!$I25,3&lt;='Detailed Timeline'!$J25),"■",""))</f>
        <v/>
      </c>
      <c r="G25" s="12">
        <f>IF(OR('Detailed Timeline'!$I25="",'Detailed Timeline'!$J25=""),"",IF(AND(4&gt;='Detailed Timeline'!$I25,4&lt;='Detailed Timeline'!$J25),"■",""))</f>
        <v/>
      </c>
      <c r="H25" s="12">
        <f>IF(OR('Detailed Timeline'!$I25="",'Detailed Timeline'!$J25=""),"",IF(AND(5&gt;='Detailed Timeline'!$I25,5&lt;='Detailed Timeline'!$J25),"■",""))</f>
        <v/>
      </c>
      <c r="I25" s="12">
        <f>IF(OR('Detailed Timeline'!$I25="",'Detailed Timeline'!$J25=""),"",IF(AND(6&gt;='Detailed Timeline'!$I25,6&lt;='Detailed Timeline'!$J25),"■",""))</f>
        <v/>
      </c>
      <c r="J25" s="12">
        <f>IF(OR('Detailed Timeline'!$I25="",'Detailed Timeline'!$J25=""),"",IF(AND(7&gt;='Detailed Timeline'!$I25,7&lt;='Detailed Timeline'!$J25),"■",""))</f>
        <v/>
      </c>
      <c r="K25" s="12">
        <f>IF(OR('Detailed Timeline'!$I25="",'Detailed Timeline'!$J25=""),"",IF(AND(8&gt;='Detailed Timeline'!$I25,8&lt;='Detailed Timeline'!$J25),"■",""))</f>
        <v/>
      </c>
      <c r="L25" s="12">
        <f>IF(OR('Detailed Timeline'!$I25="",'Detailed Timeline'!$J25=""),"",IF(AND(9&gt;='Detailed Timeline'!$I25,9&lt;='Detailed Timeline'!$J25),"■",""))</f>
        <v/>
      </c>
      <c r="M25" s="12">
        <f>IF(OR('Detailed Timeline'!$I25="",'Detailed Timeline'!$J25=""),"",IF(AND(10&gt;='Detailed Timeline'!$I25,10&lt;='Detailed Timeline'!$J25),"■",""))</f>
        <v/>
      </c>
      <c r="N25" s="12">
        <f>IF(OR('Detailed Timeline'!$I25="",'Detailed Timeline'!$J25=""),"",IF(AND(11&gt;='Detailed Timeline'!$I25,11&lt;='Detailed Timeline'!$J25),"■",""))</f>
        <v/>
      </c>
      <c r="O25" s="12">
        <f>IF(OR('Detailed Timeline'!$I25="",'Detailed Timeline'!$J25=""),"",IF(AND(12&gt;='Detailed Timeline'!$I25,12&lt;='Detailed Timeline'!$J25),"■",""))</f>
        <v/>
      </c>
    </row>
    <row r="26">
      <c r="A26" s="12">
        <f>'Detailed Timeline'!A26</f>
        <v/>
      </c>
      <c r="B26" s="12">
        <f>'Detailed Timeline'!B26</f>
        <v/>
      </c>
      <c r="C26" s="12">
        <f>'Detailed Timeline'!C26</f>
        <v/>
      </c>
      <c r="D26" s="12">
        <f>IF(OR('Detailed Timeline'!$I26="",'Detailed Timeline'!$J26=""),"",IF(AND(1&gt;='Detailed Timeline'!$I26,1&lt;='Detailed Timeline'!$J26),"■",""))</f>
        <v/>
      </c>
      <c r="E26" s="12">
        <f>IF(OR('Detailed Timeline'!$I26="",'Detailed Timeline'!$J26=""),"",IF(AND(2&gt;='Detailed Timeline'!$I26,2&lt;='Detailed Timeline'!$J26),"■",""))</f>
        <v/>
      </c>
      <c r="F26" s="12">
        <f>IF(OR('Detailed Timeline'!$I26="",'Detailed Timeline'!$J26=""),"",IF(AND(3&gt;='Detailed Timeline'!$I26,3&lt;='Detailed Timeline'!$J26),"■",""))</f>
        <v/>
      </c>
      <c r="G26" s="12">
        <f>IF(OR('Detailed Timeline'!$I26="",'Detailed Timeline'!$J26=""),"",IF(AND(4&gt;='Detailed Timeline'!$I26,4&lt;='Detailed Timeline'!$J26),"■",""))</f>
        <v/>
      </c>
      <c r="H26" s="12">
        <f>IF(OR('Detailed Timeline'!$I26="",'Detailed Timeline'!$J26=""),"",IF(AND(5&gt;='Detailed Timeline'!$I26,5&lt;='Detailed Timeline'!$J26),"■",""))</f>
        <v/>
      </c>
      <c r="I26" s="12">
        <f>IF(OR('Detailed Timeline'!$I26="",'Detailed Timeline'!$J26=""),"",IF(AND(6&gt;='Detailed Timeline'!$I26,6&lt;='Detailed Timeline'!$J26),"■",""))</f>
        <v/>
      </c>
      <c r="J26" s="12">
        <f>IF(OR('Detailed Timeline'!$I26="",'Detailed Timeline'!$J26=""),"",IF(AND(7&gt;='Detailed Timeline'!$I26,7&lt;='Detailed Timeline'!$J26),"■",""))</f>
        <v/>
      </c>
      <c r="K26" s="12">
        <f>IF(OR('Detailed Timeline'!$I26="",'Detailed Timeline'!$J26=""),"",IF(AND(8&gt;='Detailed Timeline'!$I26,8&lt;='Detailed Timeline'!$J26),"■",""))</f>
        <v/>
      </c>
      <c r="L26" s="12">
        <f>IF(OR('Detailed Timeline'!$I26="",'Detailed Timeline'!$J26=""),"",IF(AND(9&gt;='Detailed Timeline'!$I26,9&lt;='Detailed Timeline'!$J26),"■",""))</f>
        <v/>
      </c>
      <c r="M26" s="12">
        <f>IF(OR('Detailed Timeline'!$I26="",'Detailed Timeline'!$J26=""),"",IF(AND(10&gt;='Detailed Timeline'!$I26,10&lt;='Detailed Timeline'!$J26),"■",""))</f>
        <v/>
      </c>
      <c r="N26" s="12">
        <f>IF(OR('Detailed Timeline'!$I26="",'Detailed Timeline'!$J26=""),"",IF(AND(11&gt;='Detailed Timeline'!$I26,11&lt;='Detailed Timeline'!$J26),"■",""))</f>
        <v/>
      </c>
      <c r="O26" s="12">
        <f>IF(OR('Detailed Timeline'!$I26="",'Detailed Timeline'!$J26=""),"",IF(AND(12&gt;='Detailed Timeline'!$I26,12&lt;='Detailed Timeline'!$J26),"■",""))</f>
        <v/>
      </c>
    </row>
    <row r="27">
      <c r="A27" s="12">
        <f>'Detailed Timeline'!A27</f>
        <v/>
      </c>
      <c r="B27" s="12">
        <f>'Detailed Timeline'!B27</f>
        <v/>
      </c>
      <c r="C27" s="12">
        <f>'Detailed Timeline'!C27</f>
        <v/>
      </c>
      <c r="D27" s="12">
        <f>IF(OR('Detailed Timeline'!$I27="",'Detailed Timeline'!$J27=""),"",IF(AND(1&gt;='Detailed Timeline'!$I27,1&lt;='Detailed Timeline'!$J27),"■",""))</f>
        <v/>
      </c>
      <c r="E27" s="12">
        <f>IF(OR('Detailed Timeline'!$I27="",'Detailed Timeline'!$J27=""),"",IF(AND(2&gt;='Detailed Timeline'!$I27,2&lt;='Detailed Timeline'!$J27),"■",""))</f>
        <v/>
      </c>
      <c r="F27" s="12">
        <f>IF(OR('Detailed Timeline'!$I27="",'Detailed Timeline'!$J27=""),"",IF(AND(3&gt;='Detailed Timeline'!$I27,3&lt;='Detailed Timeline'!$J27),"■",""))</f>
        <v/>
      </c>
      <c r="G27" s="12">
        <f>IF(OR('Detailed Timeline'!$I27="",'Detailed Timeline'!$J27=""),"",IF(AND(4&gt;='Detailed Timeline'!$I27,4&lt;='Detailed Timeline'!$J27),"■",""))</f>
        <v/>
      </c>
      <c r="H27" s="12">
        <f>IF(OR('Detailed Timeline'!$I27="",'Detailed Timeline'!$J27=""),"",IF(AND(5&gt;='Detailed Timeline'!$I27,5&lt;='Detailed Timeline'!$J27),"■",""))</f>
        <v/>
      </c>
      <c r="I27" s="12">
        <f>IF(OR('Detailed Timeline'!$I27="",'Detailed Timeline'!$J27=""),"",IF(AND(6&gt;='Detailed Timeline'!$I27,6&lt;='Detailed Timeline'!$J27),"■",""))</f>
        <v/>
      </c>
      <c r="J27" s="12">
        <f>IF(OR('Detailed Timeline'!$I27="",'Detailed Timeline'!$J27=""),"",IF(AND(7&gt;='Detailed Timeline'!$I27,7&lt;='Detailed Timeline'!$J27),"■",""))</f>
        <v/>
      </c>
      <c r="K27" s="12">
        <f>IF(OR('Detailed Timeline'!$I27="",'Detailed Timeline'!$J27=""),"",IF(AND(8&gt;='Detailed Timeline'!$I27,8&lt;='Detailed Timeline'!$J27),"■",""))</f>
        <v/>
      </c>
      <c r="L27" s="12">
        <f>IF(OR('Detailed Timeline'!$I27="",'Detailed Timeline'!$J27=""),"",IF(AND(9&gt;='Detailed Timeline'!$I27,9&lt;='Detailed Timeline'!$J27),"■",""))</f>
        <v/>
      </c>
      <c r="M27" s="12">
        <f>IF(OR('Detailed Timeline'!$I27="",'Detailed Timeline'!$J27=""),"",IF(AND(10&gt;='Detailed Timeline'!$I27,10&lt;='Detailed Timeline'!$J27),"■",""))</f>
        <v/>
      </c>
      <c r="N27" s="12">
        <f>IF(OR('Detailed Timeline'!$I27="",'Detailed Timeline'!$J27=""),"",IF(AND(11&gt;='Detailed Timeline'!$I27,11&lt;='Detailed Timeline'!$J27),"■",""))</f>
        <v/>
      </c>
      <c r="O27" s="12">
        <f>IF(OR('Detailed Timeline'!$I27="",'Detailed Timeline'!$J27=""),"",IF(AND(12&gt;='Detailed Timeline'!$I27,12&lt;='Detailed Timeline'!$J27),"■",""))</f>
        <v/>
      </c>
    </row>
    <row r="28">
      <c r="A28" s="12">
        <f>'Detailed Timeline'!A28</f>
        <v/>
      </c>
      <c r="B28" s="12">
        <f>'Detailed Timeline'!B28</f>
        <v/>
      </c>
      <c r="C28" s="12">
        <f>'Detailed Timeline'!C28</f>
        <v/>
      </c>
      <c r="D28" s="12">
        <f>IF(OR('Detailed Timeline'!$I28="",'Detailed Timeline'!$J28=""),"",IF(AND(1&gt;='Detailed Timeline'!$I28,1&lt;='Detailed Timeline'!$J28),"■",""))</f>
        <v/>
      </c>
      <c r="E28" s="12">
        <f>IF(OR('Detailed Timeline'!$I28="",'Detailed Timeline'!$J28=""),"",IF(AND(2&gt;='Detailed Timeline'!$I28,2&lt;='Detailed Timeline'!$J28),"■",""))</f>
        <v/>
      </c>
      <c r="F28" s="12">
        <f>IF(OR('Detailed Timeline'!$I28="",'Detailed Timeline'!$J28=""),"",IF(AND(3&gt;='Detailed Timeline'!$I28,3&lt;='Detailed Timeline'!$J28),"■",""))</f>
        <v/>
      </c>
      <c r="G28" s="12">
        <f>IF(OR('Detailed Timeline'!$I28="",'Detailed Timeline'!$J28=""),"",IF(AND(4&gt;='Detailed Timeline'!$I28,4&lt;='Detailed Timeline'!$J28),"■",""))</f>
        <v/>
      </c>
      <c r="H28" s="12">
        <f>IF(OR('Detailed Timeline'!$I28="",'Detailed Timeline'!$J28=""),"",IF(AND(5&gt;='Detailed Timeline'!$I28,5&lt;='Detailed Timeline'!$J28),"■",""))</f>
        <v/>
      </c>
      <c r="I28" s="12">
        <f>IF(OR('Detailed Timeline'!$I28="",'Detailed Timeline'!$J28=""),"",IF(AND(6&gt;='Detailed Timeline'!$I28,6&lt;='Detailed Timeline'!$J28),"■",""))</f>
        <v/>
      </c>
      <c r="J28" s="12">
        <f>IF(OR('Detailed Timeline'!$I28="",'Detailed Timeline'!$J28=""),"",IF(AND(7&gt;='Detailed Timeline'!$I28,7&lt;='Detailed Timeline'!$J28),"■",""))</f>
        <v/>
      </c>
      <c r="K28" s="12">
        <f>IF(OR('Detailed Timeline'!$I28="",'Detailed Timeline'!$J28=""),"",IF(AND(8&gt;='Detailed Timeline'!$I28,8&lt;='Detailed Timeline'!$J28),"■",""))</f>
        <v/>
      </c>
      <c r="L28" s="12">
        <f>IF(OR('Detailed Timeline'!$I28="",'Detailed Timeline'!$J28=""),"",IF(AND(9&gt;='Detailed Timeline'!$I28,9&lt;='Detailed Timeline'!$J28),"■",""))</f>
        <v/>
      </c>
      <c r="M28" s="12">
        <f>IF(OR('Detailed Timeline'!$I28="",'Detailed Timeline'!$J28=""),"",IF(AND(10&gt;='Detailed Timeline'!$I28,10&lt;='Detailed Timeline'!$J28),"■",""))</f>
        <v/>
      </c>
      <c r="N28" s="12">
        <f>IF(OR('Detailed Timeline'!$I28="",'Detailed Timeline'!$J28=""),"",IF(AND(11&gt;='Detailed Timeline'!$I28,11&lt;='Detailed Timeline'!$J28),"■",""))</f>
        <v/>
      </c>
      <c r="O28" s="12">
        <f>IF(OR('Detailed Timeline'!$I28="",'Detailed Timeline'!$J28=""),"",IF(AND(12&gt;='Detailed Timeline'!$I28,12&lt;='Detailed Timeline'!$J28),"■",""))</f>
        <v/>
      </c>
    </row>
    <row r="29">
      <c r="A29" s="12">
        <f>'Detailed Timeline'!A29</f>
        <v/>
      </c>
      <c r="B29" s="12">
        <f>'Detailed Timeline'!B29</f>
        <v/>
      </c>
      <c r="C29" s="12">
        <f>'Detailed Timeline'!C29</f>
        <v/>
      </c>
      <c r="D29" s="12">
        <f>IF(OR('Detailed Timeline'!$I29="",'Detailed Timeline'!$J29=""),"",IF(AND(1&gt;='Detailed Timeline'!$I29,1&lt;='Detailed Timeline'!$J29),"■",""))</f>
        <v/>
      </c>
      <c r="E29" s="12">
        <f>IF(OR('Detailed Timeline'!$I29="",'Detailed Timeline'!$J29=""),"",IF(AND(2&gt;='Detailed Timeline'!$I29,2&lt;='Detailed Timeline'!$J29),"■",""))</f>
        <v/>
      </c>
      <c r="F29" s="12">
        <f>IF(OR('Detailed Timeline'!$I29="",'Detailed Timeline'!$J29=""),"",IF(AND(3&gt;='Detailed Timeline'!$I29,3&lt;='Detailed Timeline'!$J29),"■",""))</f>
        <v/>
      </c>
      <c r="G29" s="12">
        <f>IF(OR('Detailed Timeline'!$I29="",'Detailed Timeline'!$J29=""),"",IF(AND(4&gt;='Detailed Timeline'!$I29,4&lt;='Detailed Timeline'!$J29),"■",""))</f>
        <v/>
      </c>
      <c r="H29" s="12">
        <f>IF(OR('Detailed Timeline'!$I29="",'Detailed Timeline'!$J29=""),"",IF(AND(5&gt;='Detailed Timeline'!$I29,5&lt;='Detailed Timeline'!$J29),"■",""))</f>
        <v/>
      </c>
      <c r="I29" s="12">
        <f>IF(OR('Detailed Timeline'!$I29="",'Detailed Timeline'!$J29=""),"",IF(AND(6&gt;='Detailed Timeline'!$I29,6&lt;='Detailed Timeline'!$J29),"■",""))</f>
        <v/>
      </c>
      <c r="J29" s="12">
        <f>IF(OR('Detailed Timeline'!$I29="",'Detailed Timeline'!$J29=""),"",IF(AND(7&gt;='Detailed Timeline'!$I29,7&lt;='Detailed Timeline'!$J29),"■",""))</f>
        <v/>
      </c>
      <c r="K29" s="12">
        <f>IF(OR('Detailed Timeline'!$I29="",'Detailed Timeline'!$J29=""),"",IF(AND(8&gt;='Detailed Timeline'!$I29,8&lt;='Detailed Timeline'!$J29),"■",""))</f>
        <v/>
      </c>
      <c r="L29" s="12">
        <f>IF(OR('Detailed Timeline'!$I29="",'Detailed Timeline'!$J29=""),"",IF(AND(9&gt;='Detailed Timeline'!$I29,9&lt;='Detailed Timeline'!$J29),"■",""))</f>
        <v/>
      </c>
      <c r="M29" s="12">
        <f>IF(OR('Detailed Timeline'!$I29="",'Detailed Timeline'!$J29=""),"",IF(AND(10&gt;='Detailed Timeline'!$I29,10&lt;='Detailed Timeline'!$J29),"■",""))</f>
        <v/>
      </c>
      <c r="N29" s="12">
        <f>IF(OR('Detailed Timeline'!$I29="",'Detailed Timeline'!$J29=""),"",IF(AND(11&gt;='Detailed Timeline'!$I29,11&lt;='Detailed Timeline'!$J29),"■",""))</f>
        <v/>
      </c>
      <c r="O29" s="12">
        <f>IF(OR('Detailed Timeline'!$I29="",'Detailed Timeline'!$J29=""),"",IF(AND(12&gt;='Detailed Timeline'!$I29,12&lt;='Detailed Timeline'!$J29),"■",""))</f>
        <v/>
      </c>
    </row>
  </sheetData>
  <conditionalFormatting sqref="D2:AC24">
    <cfRule type="expression" rank="0" priority="2" equalAverage="0" aboveAverage="0" dxfId="5" text="" percent="0" bottom="0">
      <formula>D2="■"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2026-09-30T05:06:00Z</dcterms:created>
  <dcterms:modified xsi:type="dcterms:W3CDTF">2026-10-14T06:45:31Z</dcterms:modified>
  <cp:revision>0</cp:revision>
</cp:coreProperties>
</file>